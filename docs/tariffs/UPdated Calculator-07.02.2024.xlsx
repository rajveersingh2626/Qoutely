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codeName="ThisWorkbook" defaultThemeVersion="124226"/>
  <xr:revisionPtr revIDLastSave="0" documentId="13_ncr:1_{548030D9-DF70-4824-BBAF-77C71EDBBA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4" sheetId="4" state="hidden" r:id="rId2"/>
    <sheet name="Sheet3" sheetId="3" state="hidden" r:id="rId3"/>
    <sheet name="Sheet2" sheetId="2" state="hidden" r:id="rId4"/>
  </sheets>
  <externalReferences>
    <externalReference r:id="rId5"/>
  </externalReferences>
  <definedNames>
    <definedName name="_xlnm._FilterDatabase" localSheetId="0" hidden="1">Sheet1!$I$2:$AA$35</definedName>
    <definedName name="BLUS">Sheet3!$D$4</definedName>
    <definedName name="BSUS">Sheet3!$C$4</definedName>
    <definedName name="Flexi_BL">Sheet3!$A$4:$A$5</definedName>
    <definedName name="Flexi_BS">Sheet3!$B$4:$B$5</definedName>
    <definedName name="FlexiBL">Sheet3!$A$4:$A$5</definedName>
    <definedName name="Four">Sheet3!$F$4:$F$8</definedName>
    <definedName name="IIB_Occupancy__Code">Sheet1!$I$2:$I$287</definedName>
    <definedName name="N">Sheet1!$G$19:$G$20</definedName>
    <definedName name="NO">Sheet1!$G$19:$G$20</definedName>
    <definedName name="One">Sheet3!$G$4:$G$7</definedName>
    <definedName name="Three">Sheet3!$E$4:$E$8</definedName>
    <definedName name="Two">Sheet3!$H$4:$H$7</definedName>
    <definedName name="Y">Sheet1!$F$19:$F$20</definedName>
    <definedName name="YES">Sheet1!$F$19:$F$20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75" i="1" l="1"/>
  <c r="Q275" i="1"/>
  <c r="O275" i="1"/>
  <c r="U275" i="1" s="1"/>
  <c r="D33" i="1" l="1"/>
  <c r="D37" i="1" s="1"/>
  <c r="D24" i="1"/>
  <c r="B25" i="1" l="1"/>
  <c r="D38" i="1"/>
  <c r="E2" i="1"/>
  <c r="E25" i="1" l="1"/>
  <c r="D13" i="4"/>
  <c r="C3" i="1" l="1"/>
  <c r="D13" i="1" l="1"/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S31" i="1" s="1"/>
  <c r="R32" i="1"/>
  <c r="R33" i="1"/>
  <c r="R34" i="1"/>
  <c r="R35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 s="1"/>
  <c r="S275" i="1" s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3" i="1"/>
  <c r="T287" i="1"/>
  <c r="Q287" i="1"/>
  <c r="O287" i="1"/>
  <c r="T286" i="1"/>
  <c r="P286" i="1"/>
  <c r="Q286" i="1" s="1"/>
  <c r="O286" i="1"/>
  <c r="T285" i="1"/>
  <c r="P285" i="1"/>
  <c r="Q285" i="1" s="1"/>
  <c r="O285" i="1"/>
  <c r="T284" i="1"/>
  <c r="P284" i="1"/>
  <c r="Q284" i="1" s="1"/>
  <c r="O284" i="1"/>
  <c r="T283" i="1"/>
  <c r="P283" i="1"/>
  <c r="Q283" i="1" s="1"/>
  <c r="O283" i="1"/>
  <c r="T282" i="1"/>
  <c r="Q282" i="1"/>
  <c r="O282" i="1"/>
  <c r="T281" i="1"/>
  <c r="Q281" i="1"/>
  <c r="O281" i="1"/>
  <c r="T280" i="1"/>
  <c r="Q280" i="1"/>
  <c r="O280" i="1"/>
  <c r="T279" i="1"/>
  <c r="Q279" i="1"/>
  <c r="O279" i="1"/>
  <c r="T278" i="1"/>
  <c r="Q278" i="1"/>
  <c r="O278" i="1"/>
  <c r="T277" i="1"/>
  <c r="Q277" i="1"/>
  <c r="O277" i="1"/>
  <c r="T276" i="1"/>
  <c r="Q276" i="1"/>
  <c r="O276" i="1"/>
  <c r="T274" i="1"/>
  <c r="Q274" i="1"/>
  <c r="O274" i="1"/>
  <c r="T273" i="1"/>
  <c r="Q273" i="1"/>
  <c r="O273" i="1"/>
  <c r="T272" i="1"/>
  <c r="Q272" i="1"/>
  <c r="O272" i="1"/>
  <c r="T271" i="1"/>
  <c r="Q271" i="1"/>
  <c r="O271" i="1"/>
  <c r="T270" i="1"/>
  <c r="Q270" i="1"/>
  <c r="O270" i="1"/>
  <c r="T269" i="1"/>
  <c r="Q269" i="1"/>
  <c r="O269" i="1"/>
  <c r="T268" i="1"/>
  <c r="Q268" i="1"/>
  <c r="O268" i="1"/>
  <c r="T267" i="1"/>
  <c r="P267" i="1"/>
  <c r="Q267" i="1" s="1"/>
  <c r="O267" i="1"/>
  <c r="T266" i="1"/>
  <c r="P266" i="1"/>
  <c r="Q266" i="1" s="1"/>
  <c r="O266" i="1"/>
  <c r="T265" i="1"/>
  <c r="P265" i="1"/>
  <c r="Q265" i="1" s="1"/>
  <c r="O265" i="1"/>
  <c r="T264" i="1"/>
  <c r="P264" i="1"/>
  <c r="Q264" i="1" s="1"/>
  <c r="O264" i="1"/>
  <c r="T263" i="1"/>
  <c r="P263" i="1"/>
  <c r="Q263" i="1" s="1"/>
  <c r="O263" i="1"/>
  <c r="T262" i="1"/>
  <c r="P262" i="1"/>
  <c r="Q262" i="1" s="1"/>
  <c r="O262" i="1"/>
  <c r="T261" i="1"/>
  <c r="P261" i="1"/>
  <c r="Q261" i="1" s="1"/>
  <c r="O261" i="1"/>
  <c r="T260" i="1"/>
  <c r="P260" i="1"/>
  <c r="Q260" i="1" s="1"/>
  <c r="O260" i="1"/>
  <c r="T259" i="1"/>
  <c r="P259" i="1"/>
  <c r="Q259" i="1" s="1"/>
  <c r="O259" i="1"/>
  <c r="T258" i="1"/>
  <c r="P258" i="1"/>
  <c r="Q258" i="1" s="1"/>
  <c r="O258" i="1"/>
  <c r="T257" i="1"/>
  <c r="P257" i="1"/>
  <c r="Q257" i="1" s="1"/>
  <c r="O257" i="1"/>
  <c r="T256" i="1"/>
  <c r="P256" i="1"/>
  <c r="Q256" i="1" s="1"/>
  <c r="O256" i="1"/>
  <c r="T255" i="1"/>
  <c r="P255" i="1"/>
  <c r="Q255" i="1" s="1"/>
  <c r="O255" i="1"/>
  <c r="T254" i="1"/>
  <c r="P254" i="1"/>
  <c r="Q254" i="1" s="1"/>
  <c r="O254" i="1"/>
  <c r="T253" i="1"/>
  <c r="P253" i="1"/>
  <c r="Q253" i="1" s="1"/>
  <c r="O253" i="1"/>
  <c r="T252" i="1"/>
  <c r="P252" i="1"/>
  <c r="Q252" i="1" s="1"/>
  <c r="O252" i="1"/>
  <c r="T251" i="1"/>
  <c r="P251" i="1"/>
  <c r="Q251" i="1" s="1"/>
  <c r="O251" i="1"/>
  <c r="T250" i="1"/>
  <c r="P250" i="1"/>
  <c r="Q250" i="1" s="1"/>
  <c r="O250" i="1"/>
  <c r="T249" i="1"/>
  <c r="P249" i="1"/>
  <c r="Q249" i="1" s="1"/>
  <c r="O249" i="1"/>
  <c r="T248" i="1"/>
  <c r="P248" i="1"/>
  <c r="Q248" i="1" s="1"/>
  <c r="O248" i="1"/>
  <c r="T247" i="1"/>
  <c r="P247" i="1"/>
  <c r="Q247" i="1" s="1"/>
  <c r="O247" i="1"/>
  <c r="T246" i="1"/>
  <c r="P246" i="1"/>
  <c r="Q246" i="1" s="1"/>
  <c r="O246" i="1"/>
  <c r="T245" i="1"/>
  <c r="P245" i="1"/>
  <c r="Q245" i="1" s="1"/>
  <c r="O245" i="1"/>
  <c r="T244" i="1"/>
  <c r="P244" i="1"/>
  <c r="Q244" i="1" s="1"/>
  <c r="O244" i="1"/>
  <c r="T243" i="1"/>
  <c r="P243" i="1"/>
  <c r="Q243" i="1" s="1"/>
  <c r="O243" i="1"/>
  <c r="T242" i="1"/>
  <c r="P242" i="1"/>
  <c r="Q242" i="1" s="1"/>
  <c r="O242" i="1"/>
  <c r="T241" i="1"/>
  <c r="P241" i="1"/>
  <c r="Q241" i="1" s="1"/>
  <c r="O241" i="1"/>
  <c r="T240" i="1"/>
  <c r="P240" i="1"/>
  <c r="Q240" i="1" s="1"/>
  <c r="O240" i="1"/>
  <c r="T239" i="1"/>
  <c r="P239" i="1"/>
  <c r="Q239" i="1" s="1"/>
  <c r="O239" i="1"/>
  <c r="T238" i="1"/>
  <c r="P238" i="1"/>
  <c r="Q238" i="1" s="1"/>
  <c r="O238" i="1"/>
  <c r="T237" i="1"/>
  <c r="P237" i="1"/>
  <c r="Q237" i="1" s="1"/>
  <c r="O237" i="1"/>
  <c r="T236" i="1"/>
  <c r="P236" i="1"/>
  <c r="Q236" i="1" s="1"/>
  <c r="O236" i="1"/>
  <c r="T235" i="1"/>
  <c r="P235" i="1"/>
  <c r="Q235" i="1" s="1"/>
  <c r="O235" i="1"/>
  <c r="T234" i="1"/>
  <c r="P234" i="1"/>
  <c r="Q234" i="1" s="1"/>
  <c r="O234" i="1"/>
  <c r="T233" i="1"/>
  <c r="P233" i="1"/>
  <c r="Q233" i="1" s="1"/>
  <c r="O233" i="1"/>
  <c r="T232" i="1"/>
  <c r="P232" i="1"/>
  <c r="Q232" i="1" s="1"/>
  <c r="O232" i="1"/>
  <c r="T231" i="1"/>
  <c r="P231" i="1"/>
  <c r="Q231" i="1" s="1"/>
  <c r="O231" i="1"/>
  <c r="T230" i="1"/>
  <c r="P230" i="1"/>
  <c r="Q230" i="1" s="1"/>
  <c r="O230" i="1"/>
  <c r="T229" i="1"/>
  <c r="P229" i="1"/>
  <c r="Q229" i="1" s="1"/>
  <c r="O229" i="1"/>
  <c r="T228" i="1"/>
  <c r="P228" i="1"/>
  <c r="Q228" i="1" s="1"/>
  <c r="O228" i="1"/>
  <c r="T227" i="1"/>
  <c r="P227" i="1"/>
  <c r="Q227" i="1" s="1"/>
  <c r="O227" i="1"/>
  <c r="T226" i="1"/>
  <c r="P226" i="1"/>
  <c r="Q226" i="1" s="1"/>
  <c r="O226" i="1"/>
  <c r="T225" i="1"/>
  <c r="P225" i="1"/>
  <c r="Q225" i="1" s="1"/>
  <c r="O225" i="1"/>
  <c r="T224" i="1"/>
  <c r="P224" i="1"/>
  <c r="Q224" i="1" s="1"/>
  <c r="O224" i="1"/>
  <c r="T223" i="1"/>
  <c r="P223" i="1"/>
  <c r="Q223" i="1" s="1"/>
  <c r="O223" i="1"/>
  <c r="T222" i="1"/>
  <c r="P222" i="1"/>
  <c r="Q222" i="1" s="1"/>
  <c r="O222" i="1"/>
  <c r="T221" i="1"/>
  <c r="P221" i="1"/>
  <c r="Q221" i="1" s="1"/>
  <c r="O221" i="1"/>
  <c r="T220" i="1"/>
  <c r="P220" i="1"/>
  <c r="Q220" i="1" s="1"/>
  <c r="O220" i="1"/>
  <c r="T219" i="1"/>
  <c r="P219" i="1"/>
  <c r="Q219" i="1" s="1"/>
  <c r="O219" i="1"/>
  <c r="T218" i="1"/>
  <c r="P218" i="1"/>
  <c r="Q218" i="1" s="1"/>
  <c r="O218" i="1"/>
  <c r="T217" i="1"/>
  <c r="P217" i="1"/>
  <c r="Q217" i="1" s="1"/>
  <c r="O217" i="1"/>
  <c r="T216" i="1"/>
  <c r="P216" i="1"/>
  <c r="Q216" i="1" s="1"/>
  <c r="O216" i="1"/>
  <c r="T215" i="1"/>
  <c r="P215" i="1"/>
  <c r="Q215" i="1" s="1"/>
  <c r="O215" i="1"/>
  <c r="T214" i="1"/>
  <c r="P214" i="1"/>
  <c r="Q214" i="1" s="1"/>
  <c r="O214" i="1"/>
  <c r="T213" i="1"/>
  <c r="P213" i="1"/>
  <c r="Q213" i="1" s="1"/>
  <c r="O213" i="1"/>
  <c r="T212" i="1"/>
  <c r="P212" i="1"/>
  <c r="Q212" i="1" s="1"/>
  <c r="O212" i="1"/>
  <c r="T211" i="1"/>
  <c r="P211" i="1"/>
  <c r="Q211" i="1" s="1"/>
  <c r="O211" i="1"/>
  <c r="T210" i="1"/>
  <c r="P210" i="1"/>
  <c r="Q210" i="1" s="1"/>
  <c r="O210" i="1"/>
  <c r="T209" i="1"/>
  <c r="P209" i="1"/>
  <c r="Q209" i="1" s="1"/>
  <c r="O209" i="1"/>
  <c r="T208" i="1"/>
  <c r="P208" i="1"/>
  <c r="Q208" i="1" s="1"/>
  <c r="O208" i="1"/>
  <c r="T207" i="1"/>
  <c r="P207" i="1"/>
  <c r="Q207" i="1" s="1"/>
  <c r="O207" i="1"/>
  <c r="T206" i="1"/>
  <c r="P206" i="1"/>
  <c r="Q206" i="1" s="1"/>
  <c r="O206" i="1"/>
  <c r="T205" i="1"/>
  <c r="P205" i="1"/>
  <c r="Q205" i="1" s="1"/>
  <c r="O205" i="1"/>
  <c r="T204" i="1"/>
  <c r="P204" i="1"/>
  <c r="Q204" i="1" s="1"/>
  <c r="O204" i="1"/>
  <c r="T203" i="1"/>
  <c r="P203" i="1"/>
  <c r="Q203" i="1" s="1"/>
  <c r="O203" i="1"/>
  <c r="T202" i="1"/>
  <c r="P202" i="1"/>
  <c r="Q202" i="1" s="1"/>
  <c r="O202" i="1"/>
  <c r="T201" i="1"/>
  <c r="P201" i="1"/>
  <c r="Q201" i="1" s="1"/>
  <c r="O201" i="1"/>
  <c r="T200" i="1"/>
  <c r="P200" i="1"/>
  <c r="Q200" i="1" s="1"/>
  <c r="O200" i="1"/>
  <c r="T199" i="1"/>
  <c r="P199" i="1"/>
  <c r="Q199" i="1" s="1"/>
  <c r="O199" i="1"/>
  <c r="T198" i="1"/>
  <c r="P198" i="1"/>
  <c r="Q198" i="1" s="1"/>
  <c r="O198" i="1"/>
  <c r="T197" i="1"/>
  <c r="P197" i="1"/>
  <c r="Q197" i="1" s="1"/>
  <c r="O197" i="1"/>
  <c r="T196" i="1"/>
  <c r="P196" i="1"/>
  <c r="Q196" i="1" s="1"/>
  <c r="O196" i="1"/>
  <c r="T195" i="1"/>
  <c r="P195" i="1"/>
  <c r="Q195" i="1" s="1"/>
  <c r="O195" i="1"/>
  <c r="T194" i="1"/>
  <c r="P194" i="1"/>
  <c r="Q194" i="1" s="1"/>
  <c r="O194" i="1"/>
  <c r="T193" i="1"/>
  <c r="P193" i="1"/>
  <c r="Q193" i="1" s="1"/>
  <c r="O193" i="1"/>
  <c r="T192" i="1"/>
  <c r="P192" i="1"/>
  <c r="Q192" i="1" s="1"/>
  <c r="O192" i="1"/>
  <c r="T191" i="1"/>
  <c r="P191" i="1"/>
  <c r="Q191" i="1" s="1"/>
  <c r="O191" i="1"/>
  <c r="T190" i="1"/>
  <c r="P190" i="1"/>
  <c r="Q190" i="1" s="1"/>
  <c r="O190" i="1"/>
  <c r="T189" i="1"/>
  <c r="P189" i="1"/>
  <c r="Q189" i="1" s="1"/>
  <c r="O189" i="1"/>
  <c r="T188" i="1"/>
  <c r="P188" i="1"/>
  <c r="Q188" i="1" s="1"/>
  <c r="O188" i="1"/>
  <c r="T187" i="1"/>
  <c r="P187" i="1"/>
  <c r="Q187" i="1" s="1"/>
  <c r="O187" i="1"/>
  <c r="T186" i="1"/>
  <c r="P186" i="1"/>
  <c r="Q186" i="1" s="1"/>
  <c r="O186" i="1"/>
  <c r="T185" i="1"/>
  <c r="P185" i="1"/>
  <c r="Q185" i="1" s="1"/>
  <c r="O185" i="1"/>
  <c r="T184" i="1"/>
  <c r="P184" i="1"/>
  <c r="Q184" i="1" s="1"/>
  <c r="O184" i="1"/>
  <c r="T183" i="1"/>
  <c r="P183" i="1"/>
  <c r="Q183" i="1" s="1"/>
  <c r="O183" i="1"/>
  <c r="T182" i="1"/>
  <c r="P182" i="1"/>
  <c r="Q182" i="1" s="1"/>
  <c r="O182" i="1"/>
  <c r="T181" i="1"/>
  <c r="P181" i="1"/>
  <c r="Q181" i="1" s="1"/>
  <c r="O181" i="1"/>
  <c r="T180" i="1"/>
  <c r="P180" i="1"/>
  <c r="Q180" i="1" s="1"/>
  <c r="O180" i="1"/>
  <c r="T179" i="1"/>
  <c r="P179" i="1"/>
  <c r="Q179" i="1" s="1"/>
  <c r="O179" i="1"/>
  <c r="T178" i="1"/>
  <c r="P178" i="1"/>
  <c r="Q178" i="1" s="1"/>
  <c r="O178" i="1"/>
  <c r="T177" i="1"/>
  <c r="P177" i="1"/>
  <c r="Q177" i="1" s="1"/>
  <c r="O177" i="1"/>
  <c r="T176" i="1"/>
  <c r="P176" i="1"/>
  <c r="Q176" i="1" s="1"/>
  <c r="O176" i="1"/>
  <c r="T175" i="1"/>
  <c r="P175" i="1"/>
  <c r="Q175" i="1" s="1"/>
  <c r="O175" i="1"/>
  <c r="T174" i="1"/>
  <c r="P174" i="1"/>
  <c r="Q174" i="1" s="1"/>
  <c r="O174" i="1"/>
  <c r="T173" i="1"/>
  <c r="P173" i="1"/>
  <c r="Q173" i="1" s="1"/>
  <c r="O173" i="1"/>
  <c r="T172" i="1"/>
  <c r="P172" i="1"/>
  <c r="Q172" i="1" s="1"/>
  <c r="O172" i="1"/>
  <c r="T171" i="1"/>
  <c r="P171" i="1"/>
  <c r="Q171" i="1" s="1"/>
  <c r="O171" i="1"/>
  <c r="T170" i="1"/>
  <c r="P170" i="1"/>
  <c r="Q170" i="1" s="1"/>
  <c r="O170" i="1"/>
  <c r="T169" i="1"/>
  <c r="P169" i="1"/>
  <c r="Q169" i="1" s="1"/>
  <c r="O169" i="1"/>
  <c r="T168" i="1"/>
  <c r="P168" i="1"/>
  <c r="Q168" i="1" s="1"/>
  <c r="O168" i="1"/>
  <c r="T167" i="1"/>
  <c r="P167" i="1"/>
  <c r="Q167" i="1" s="1"/>
  <c r="O167" i="1"/>
  <c r="T166" i="1"/>
  <c r="P166" i="1"/>
  <c r="Q166" i="1" s="1"/>
  <c r="O166" i="1"/>
  <c r="T165" i="1"/>
  <c r="P165" i="1"/>
  <c r="Q165" i="1" s="1"/>
  <c r="O165" i="1"/>
  <c r="T164" i="1"/>
  <c r="P164" i="1"/>
  <c r="Q164" i="1" s="1"/>
  <c r="O164" i="1"/>
  <c r="T163" i="1"/>
  <c r="P163" i="1"/>
  <c r="Q163" i="1" s="1"/>
  <c r="O163" i="1"/>
  <c r="T162" i="1"/>
  <c r="P162" i="1"/>
  <c r="Q162" i="1" s="1"/>
  <c r="O162" i="1"/>
  <c r="T161" i="1"/>
  <c r="P161" i="1"/>
  <c r="Q161" i="1" s="1"/>
  <c r="O161" i="1"/>
  <c r="T160" i="1"/>
  <c r="P160" i="1"/>
  <c r="Q160" i="1" s="1"/>
  <c r="O160" i="1"/>
  <c r="T159" i="1"/>
  <c r="P159" i="1"/>
  <c r="Q159" i="1" s="1"/>
  <c r="O159" i="1"/>
  <c r="T158" i="1"/>
  <c r="P158" i="1"/>
  <c r="Q158" i="1" s="1"/>
  <c r="O158" i="1"/>
  <c r="T157" i="1"/>
  <c r="P157" i="1"/>
  <c r="Q157" i="1" s="1"/>
  <c r="O157" i="1"/>
  <c r="T156" i="1"/>
  <c r="P156" i="1"/>
  <c r="Q156" i="1" s="1"/>
  <c r="O156" i="1"/>
  <c r="T155" i="1"/>
  <c r="P155" i="1"/>
  <c r="Q155" i="1" s="1"/>
  <c r="O155" i="1"/>
  <c r="T154" i="1"/>
  <c r="P154" i="1"/>
  <c r="Q154" i="1" s="1"/>
  <c r="O154" i="1"/>
  <c r="T153" i="1"/>
  <c r="P153" i="1"/>
  <c r="Q153" i="1" s="1"/>
  <c r="O153" i="1"/>
  <c r="T152" i="1"/>
  <c r="P152" i="1"/>
  <c r="Q152" i="1" s="1"/>
  <c r="O152" i="1"/>
  <c r="T151" i="1"/>
  <c r="P151" i="1"/>
  <c r="Q151" i="1" s="1"/>
  <c r="O151" i="1"/>
  <c r="T150" i="1"/>
  <c r="P150" i="1"/>
  <c r="Q150" i="1" s="1"/>
  <c r="O150" i="1"/>
  <c r="T149" i="1"/>
  <c r="P149" i="1"/>
  <c r="Q149" i="1" s="1"/>
  <c r="O149" i="1"/>
  <c r="T148" i="1"/>
  <c r="P148" i="1"/>
  <c r="Q148" i="1" s="1"/>
  <c r="O148" i="1"/>
  <c r="T147" i="1"/>
  <c r="P147" i="1"/>
  <c r="Q147" i="1" s="1"/>
  <c r="O147" i="1"/>
  <c r="T146" i="1"/>
  <c r="P146" i="1"/>
  <c r="Q146" i="1" s="1"/>
  <c r="O146" i="1"/>
  <c r="T145" i="1"/>
  <c r="P145" i="1"/>
  <c r="Q145" i="1" s="1"/>
  <c r="O145" i="1"/>
  <c r="T144" i="1"/>
  <c r="P144" i="1"/>
  <c r="Q144" i="1" s="1"/>
  <c r="O144" i="1"/>
  <c r="T143" i="1"/>
  <c r="P143" i="1"/>
  <c r="Q143" i="1" s="1"/>
  <c r="O143" i="1"/>
  <c r="T142" i="1"/>
  <c r="P142" i="1"/>
  <c r="Q142" i="1" s="1"/>
  <c r="O142" i="1"/>
  <c r="T141" i="1"/>
  <c r="P141" i="1"/>
  <c r="Q141" i="1" s="1"/>
  <c r="O141" i="1"/>
  <c r="T140" i="1"/>
  <c r="P140" i="1"/>
  <c r="Q140" i="1" s="1"/>
  <c r="O140" i="1"/>
  <c r="T139" i="1"/>
  <c r="P139" i="1"/>
  <c r="Q139" i="1" s="1"/>
  <c r="O139" i="1"/>
  <c r="T138" i="1"/>
  <c r="P138" i="1"/>
  <c r="Q138" i="1" s="1"/>
  <c r="O138" i="1"/>
  <c r="T137" i="1"/>
  <c r="P137" i="1"/>
  <c r="Q137" i="1" s="1"/>
  <c r="O137" i="1"/>
  <c r="T136" i="1"/>
  <c r="P136" i="1"/>
  <c r="Q136" i="1" s="1"/>
  <c r="O136" i="1"/>
  <c r="T135" i="1"/>
  <c r="P135" i="1"/>
  <c r="Q135" i="1" s="1"/>
  <c r="O135" i="1"/>
  <c r="T134" i="1"/>
  <c r="P134" i="1"/>
  <c r="Q134" i="1" s="1"/>
  <c r="O134" i="1"/>
  <c r="T133" i="1"/>
  <c r="P133" i="1"/>
  <c r="Q133" i="1" s="1"/>
  <c r="O133" i="1"/>
  <c r="T132" i="1"/>
  <c r="P132" i="1"/>
  <c r="Q132" i="1" s="1"/>
  <c r="O132" i="1"/>
  <c r="T131" i="1"/>
  <c r="P131" i="1"/>
  <c r="Q131" i="1" s="1"/>
  <c r="O131" i="1"/>
  <c r="T130" i="1"/>
  <c r="P130" i="1"/>
  <c r="Q130" i="1" s="1"/>
  <c r="O130" i="1"/>
  <c r="T129" i="1"/>
  <c r="P129" i="1"/>
  <c r="Q129" i="1" s="1"/>
  <c r="O129" i="1"/>
  <c r="T128" i="1"/>
  <c r="P128" i="1"/>
  <c r="Q128" i="1" s="1"/>
  <c r="O128" i="1"/>
  <c r="T127" i="1"/>
  <c r="P127" i="1"/>
  <c r="Q127" i="1" s="1"/>
  <c r="O127" i="1"/>
  <c r="T126" i="1"/>
  <c r="P126" i="1"/>
  <c r="Q126" i="1" s="1"/>
  <c r="O126" i="1"/>
  <c r="T125" i="1"/>
  <c r="P125" i="1"/>
  <c r="Q125" i="1" s="1"/>
  <c r="O125" i="1"/>
  <c r="T124" i="1"/>
  <c r="P124" i="1"/>
  <c r="Q124" i="1" s="1"/>
  <c r="O124" i="1"/>
  <c r="T123" i="1"/>
  <c r="P123" i="1"/>
  <c r="Q123" i="1" s="1"/>
  <c r="O123" i="1"/>
  <c r="T122" i="1"/>
  <c r="P122" i="1"/>
  <c r="Q122" i="1" s="1"/>
  <c r="O122" i="1"/>
  <c r="T121" i="1"/>
  <c r="P121" i="1"/>
  <c r="Q121" i="1" s="1"/>
  <c r="O121" i="1"/>
  <c r="T120" i="1"/>
  <c r="P120" i="1"/>
  <c r="Q120" i="1" s="1"/>
  <c r="O120" i="1"/>
  <c r="T119" i="1"/>
  <c r="P119" i="1"/>
  <c r="Q119" i="1" s="1"/>
  <c r="O119" i="1"/>
  <c r="T118" i="1"/>
  <c r="P118" i="1"/>
  <c r="Q118" i="1" s="1"/>
  <c r="O118" i="1"/>
  <c r="T117" i="1"/>
  <c r="P117" i="1"/>
  <c r="Q117" i="1" s="1"/>
  <c r="O117" i="1"/>
  <c r="T116" i="1"/>
  <c r="P116" i="1"/>
  <c r="Q116" i="1" s="1"/>
  <c r="O116" i="1"/>
  <c r="T115" i="1"/>
  <c r="P115" i="1"/>
  <c r="Q115" i="1" s="1"/>
  <c r="O115" i="1"/>
  <c r="T114" i="1"/>
  <c r="P114" i="1"/>
  <c r="Q114" i="1" s="1"/>
  <c r="O114" i="1"/>
  <c r="T113" i="1"/>
  <c r="P113" i="1"/>
  <c r="Q113" i="1" s="1"/>
  <c r="O113" i="1"/>
  <c r="T112" i="1"/>
  <c r="P112" i="1"/>
  <c r="Q112" i="1" s="1"/>
  <c r="O112" i="1"/>
  <c r="T111" i="1"/>
  <c r="P111" i="1"/>
  <c r="Q111" i="1" s="1"/>
  <c r="O111" i="1"/>
  <c r="T110" i="1"/>
  <c r="P110" i="1"/>
  <c r="Q110" i="1" s="1"/>
  <c r="O110" i="1"/>
  <c r="T109" i="1"/>
  <c r="P109" i="1"/>
  <c r="Q109" i="1" s="1"/>
  <c r="O109" i="1"/>
  <c r="T108" i="1"/>
  <c r="P108" i="1"/>
  <c r="Q108" i="1" s="1"/>
  <c r="O108" i="1"/>
  <c r="T107" i="1"/>
  <c r="P107" i="1"/>
  <c r="Q107" i="1" s="1"/>
  <c r="O107" i="1"/>
  <c r="T106" i="1"/>
  <c r="P106" i="1"/>
  <c r="Q106" i="1" s="1"/>
  <c r="O106" i="1"/>
  <c r="T105" i="1"/>
  <c r="P105" i="1"/>
  <c r="Q105" i="1" s="1"/>
  <c r="O105" i="1"/>
  <c r="T104" i="1"/>
  <c r="P104" i="1"/>
  <c r="Q104" i="1" s="1"/>
  <c r="O104" i="1"/>
  <c r="T103" i="1"/>
  <c r="P103" i="1"/>
  <c r="Q103" i="1" s="1"/>
  <c r="O103" i="1"/>
  <c r="T102" i="1"/>
  <c r="P102" i="1"/>
  <c r="Q102" i="1" s="1"/>
  <c r="O102" i="1"/>
  <c r="T101" i="1"/>
  <c r="P101" i="1"/>
  <c r="Q101" i="1" s="1"/>
  <c r="O101" i="1"/>
  <c r="T100" i="1"/>
  <c r="P100" i="1"/>
  <c r="Q100" i="1" s="1"/>
  <c r="O100" i="1"/>
  <c r="T99" i="1"/>
  <c r="P99" i="1"/>
  <c r="Q99" i="1" s="1"/>
  <c r="O99" i="1"/>
  <c r="T98" i="1"/>
  <c r="P98" i="1"/>
  <c r="Q98" i="1" s="1"/>
  <c r="O98" i="1"/>
  <c r="T97" i="1"/>
  <c r="P97" i="1"/>
  <c r="Q97" i="1" s="1"/>
  <c r="O97" i="1"/>
  <c r="T96" i="1"/>
  <c r="P96" i="1"/>
  <c r="Q96" i="1" s="1"/>
  <c r="O96" i="1"/>
  <c r="T95" i="1"/>
  <c r="P95" i="1"/>
  <c r="Q95" i="1" s="1"/>
  <c r="O95" i="1"/>
  <c r="T94" i="1"/>
  <c r="P94" i="1"/>
  <c r="Q94" i="1" s="1"/>
  <c r="O94" i="1"/>
  <c r="T93" i="1"/>
  <c r="P93" i="1"/>
  <c r="Q93" i="1" s="1"/>
  <c r="O93" i="1"/>
  <c r="T92" i="1"/>
  <c r="P92" i="1"/>
  <c r="Q92" i="1" s="1"/>
  <c r="O92" i="1"/>
  <c r="T91" i="1"/>
  <c r="P91" i="1"/>
  <c r="Q91" i="1" s="1"/>
  <c r="O91" i="1"/>
  <c r="T90" i="1"/>
  <c r="P90" i="1"/>
  <c r="Q90" i="1" s="1"/>
  <c r="O90" i="1"/>
  <c r="T89" i="1"/>
  <c r="P89" i="1"/>
  <c r="Q89" i="1" s="1"/>
  <c r="O89" i="1"/>
  <c r="T88" i="1"/>
  <c r="P88" i="1"/>
  <c r="Q88" i="1" s="1"/>
  <c r="O88" i="1"/>
  <c r="T87" i="1"/>
  <c r="P87" i="1"/>
  <c r="Q87" i="1" s="1"/>
  <c r="O87" i="1"/>
  <c r="T86" i="1"/>
  <c r="P86" i="1"/>
  <c r="Q86" i="1" s="1"/>
  <c r="O86" i="1"/>
  <c r="T85" i="1"/>
  <c r="P85" i="1"/>
  <c r="Q85" i="1" s="1"/>
  <c r="O85" i="1"/>
  <c r="T84" i="1"/>
  <c r="P84" i="1"/>
  <c r="Q84" i="1" s="1"/>
  <c r="O84" i="1"/>
  <c r="T83" i="1"/>
  <c r="P83" i="1"/>
  <c r="Q83" i="1" s="1"/>
  <c r="O83" i="1"/>
  <c r="T82" i="1"/>
  <c r="P82" i="1"/>
  <c r="Q82" i="1" s="1"/>
  <c r="O82" i="1"/>
  <c r="T81" i="1"/>
  <c r="P81" i="1"/>
  <c r="Q81" i="1" s="1"/>
  <c r="O81" i="1"/>
  <c r="T80" i="1"/>
  <c r="P80" i="1"/>
  <c r="Q80" i="1" s="1"/>
  <c r="O80" i="1"/>
  <c r="T79" i="1"/>
  <c r="P79" i="1"/>
  <c r="Q79" i="1" s="1"/>
  <c r="O79" i="1"/>
  <c r="T78" i="1"/>
  <c r="P78" i="1"/>
  <c r="Q78" i="1" s="1"/>
  <c r="O78" i="1"/>
  <c r="T77" i="1"/>
  <c r="P77" i="1"/>
  <c r="Q77" i="1" s="1"/>
  <c r="O77" i="1"/>
  <c r="T76" i="1"/>
  <c r="P76" i="1"/>
  <c r="Q76" i="1" s="1"/>
  <c r="O76" i="1"/>
  <c r="T75" i="1"/>
  <c r="P75" i="1"/>
  <c r="Q75" i="1" s="1"/>
  <c r="O75" i="1"/>
  <c r="T74" i="1"/>
  <c r="P74" i="1"/>
  <c r="Q74" i="1" s="1"/>
  <c r="O74" i="1"/>
  <c r="T73" i="1"/>
  <c r="P73" i="1"/>
  <c r="Q73" i="1" s="1"/>
  <c r="O73" i="1"/>
  <c r="T72" i="1"/>
  <c r="P72" i="1"/>
  <c r="Q72" i="1" s="1"/>
  <c r="O72" i="1"/>
  <c r="T71" i="1"/>
  <c r="P71" i="1"/>
  <c r="Q71" i="1" s="1"/>
  <c r="O71" i="1"/>
  <c r="T70" i="1"/>
  <c r="P70" i="1"/>
  <c r="Q70" i="1" s="1"/>
  <c r="O70" i="1"/>
  <c r="T69" i="1"/>
  <c r="P69" i="1"/>
  <c r="Q69" i="1" s="1"/>
  <c r="O69" i="1"/>
  <c r="T68" i="1"/>
  <c r="P68" i="1"/>
  <c r="Q68" i="1" s="1"/>
  <c r="O68" i="1"/>
  <c r="T67" i="1"/>
  <c r="P67" i="1"/>
  <c r="Q67" i="1" s="1"/>
  <c r="O67" i="1"/>
  <c r="T66" i="1"/>
  <c r="P66" i="1"/>
  <c r="Q66" i="1" s="1"/>
  <c r="O66" i="1"/>
  <c r="T65" i="1"/>
  <c r="P65" i="1"/>
  <c r="Q65" i="1" s="1"/>
  <c r="O65" i="1"/>
  <c r="T64" i="1"/>
  <c r="P64" i="1"/>
  <c r="Q64" i="1" s="1"/>
  <c r="O64" i="1"/>
  <c r="T63" i="1"/>
  <c r="P63" i="1"/>
  <c r="Q63" i="1" s="1"/>
  <c r="O63" i="1"/>
  <c r="T62" i="1"/>
  <c r="P62" i="1"/>
  <c r="Q62" i="1" s="1"/>
  <c r="O62" i="1"/>
  <c r="T61" i="1"/>
  <c r="P61" i="1"/>
  <c r="Q61" i="1" s="1"/>
  <c r="O61" i="1"/>
  <c r="T60" i="1"/>
  <c r="P60" i="1"/>
  <c r="Q60" i="1" s="1"/>
  <c r="O60" i="1"/>
  <c r="T59" i="1"/>
  <c r="P59" i="1"/>
  <c r="Q59" i="1" s="1"/>
  <c r="O59" i="1"/>
  <c r="T58" i="1"/>
  <c r="P58" i="1"/>
  <c r="Q58" i="1" s="1"/>
  <c r="O58" i="1"/>
  <c r="T57" i="1"/>
  <c r="P57" i="1"/>
  <c r="Q57" i="1" s="1"/>
  <c r="O57" i="1"/>
  <c r="T56" i="1"/>
  <c r="P56" i="1"/>
  <c r="Q56" i="1" s="1"/>
  <c r="O56" i="1"/>
  <c r="T55" i="1"/>
  <c r="P55" i="1"/>
  <c r="Q55" i="1" s="1"/>
  <c r="O55" i="1"/>
  <c r="T54" i="1"/>
  <c r="P54" i="1"/>
  <c r="Q54" i="1" s="1"/>
  <c r="O54" i="1"/>
  <c r="T53" i="1"/>
  <c r="P53" i="1"/>
  <c r="Q53" i="1" s="1"/>
  <c r="O53" i="1"/>
  <c r="T52" i="1"/>
  <c r="P52" i="1"/>
  <c r="Q52" i="1" s="1"/>
  <c r="O52" i="1"/>
  <c r="T51" i="1"/>
  <c r="P51" i="1"/>
  <c r="Q51" i="1" s="1"/>
  <c r="O51" i="1"/>
  <c r="T50" i="1"/>
  <c r="P50" i="1"/>
  <c r="Q50" i="1" s="1"/>
  <c r="O50" i="1"/>
  <c r="T49" i="1"/>
  <c r="P49" i="1"/>
  <c r="Q49" i="1" s="1"/>
  <c r="O49" i="1"/>
  <c r="T48" i="1"/>
  <c r="P48" i="1"/>
  <c r="Q48" i="1" s="1"/>
  <c r="O48" i="1"/>
  <c r="T47" i="1"/>
  <c r="P47" i="1"/>
  <c r="Q47" i="1" s="1"/>
  <c r="O47" i="1"/>
  <c r="T46" i="1"/>
  <c r="P46" i="1"/>
  <c r="Q46" i="1" s="1"/>
  <c r="O46" i="1"/>
  <c r="T45" i="1"/>
  <c r="P45" i="1"/>
  <c r="Q45" i="1" s="1"/>
  <c r="O45" i="1"/>
  <c r="T44" i="1"/>
  <c r="P44" i="1"/>
  <c r="Q44" i="1" s="1"/>
  <c r="O44" i="1"/>
  <c r="T43" i="1"/>
  <c r="P43" i="1"/>
  <c r="Q43" i="1" s="1"/>
  <c r="O43" i="1"/>
  <c r="T42" i="1"/>
  <c r="P42" i="1"/>
  <c r="Q42" i="1" s="1"/>
  <c r="O42" i="1"/>
  <c r="T41" i="1"/>
  <c r="P41" i="1"/>
  <c r="Q41" i="1" s="1"/>
  <c r="O41" i="1"/>
  <c r="T40" i="1"/>
  <c r="P40" i="1"/>
  <c r="Q40" i="1" s="1"/>
  <c r="O40" i="1"/>
  <c r="T39" i="1"/>
  <c r="P39" i="1"/>
  <c r="Q39" i="1" s="1"/>
  <c r="O39" i="1"/>
  <c r="T38" i="1"/>
  <c r="P38" i="1"/>
  <c r="Q38" i="1" s="1"/>
  <c r="O38" i="1"/>
  <c r="T35" i="1"/>
  <c r="P35" i="1"/>
  <c r="Q35" i="1" s="1"/>
  <c r="O35" i="1"/>
  <c r="T34" i="1"/>
  <c r="P34" i="1"/>
  <c r="Q34" i="1" s="1"/>
  <c r="O34" i="1"/>
  <c r="T33" i="1"/>
  <c r="P33" i="1"/>
  <c r="Q33" i="1" s="1"/>
  <c r="O33" i="1"/>
  <c r="T32" i="1"/>
  <c r="P32" i="1"/>
  <c r="Q32" i="1" s="1"/>
  <c r="O32" i="1"/>
  <c r="T31" i="1"/>
  <c r="P31" i="1"/>
  <c r="Q31" i="1" s="1"/>
  <c r="O31" i="1"/>
  <c r="T30" i="1"/>
  <c r="P30" i="1"/>
  <c r="Q30" i="1" s="1"/>
  <c r="O30" i="1"/>
  <c r="T29" i="1"/>
  <c r="P29" i="1"/>
  <c r="Q29" i="1" s="1"/>
  <c r="O29" i="1"/>
  <c r="T28" i="1"/>
  <c r="P28" i="1"/>
  <c r="Q28" i="1" s="1"/>
  <c r="O28" i="1"/>
  <c r="T27" i="1"/>
  <c r="P27" i="1"/>
  <c r="Q27" i="1" s="1"/>
  <c r="O27" i="1"/>
  <c r="T26" i="1"/>
  <c r="P26" i="1"/>
  <c r="Q26" i="1" s="1"/>
  <c r="O26" i="1"/>
  <c r="T25" i="1"/>
  <c r="P25" i="1"/>
  <c r="Q25" i="1" s="1"/>
  <c r="O25" i="1"/>
  <c r="T24" i="1"/>
  <c r="P24" i="1"/>
  <c r="Q24" i="1" s="1"/>
  <c r="O24" i="1"/>
  <c r="T23" i="1"/>
  <c r="P23" i="1"/>
  <c r="Q23" i="1" s="1"/>
  <c r="O23" i="1"/>
  <c r="T22" i="1"/>
  <c r="P22" i="1"/>
  <c r="Q22" i="1" s="1"/>
  <c r="O22" i="1"/>
  <c r="T21" i="1"/>
  <c r="P21" i="1"/>
  <c r="Q21" i="1" s="1"/>
  <c r="O21" i="1"/>
  <c r="T20" i="1"/>
  <c r="P20" i="1"/>
  <c r="Q20" i="1" s="1"/>
  <c r="O20" i="1"/>
  <c r="T19" i="1"/>
  <c r="P19" i="1"/>
  <c r="Q19" i="1" s="1"/>
  <c r="O19" i="1"/>
  <c r="T18" i="1"/>
  <c r="P18" i="1"/>
  <c r="Q18" i="1" s="1"/>
  <c r="O18" i="1"/>
  <c r="T17" i="1"/>
  <c r="P17" i="1"/>
  <c r="Q17" i="1" s="1"/>
  <c r="O17" i="1"/>
  <c r="T16" i="1"/>
  <c r="P16" i="1"/>
  <c r="Q16" i="1" s="1"/>
  <c r="O16" i="1"/>
  <c r="T15" i="1"/>
  <c r="P15" i="1"/>
  <c r="Q15" i="1" s="1"/>
  <c r="O15" i="1"/>
  <c r="T14" i="1"/>
  <c r="P14" i="1"/>
  <c r="Q14" i="1" s="1"/>
  <c r="O14" i="1"/>
  <c r="T13" i="1"/>
  <c r="P13" i="1"/>
  <c r="Q13" i="1" s="1"/>
  <c r="O13" i="1"/>
  <c r="T12" i="1"/>
  <c r="P12" i="1"/>
  <c r="Q12" i="1" s="1"/>
  <c r="O12" i="1"/>
  <c r="T11" i="1"/>
  <c r="P11" i="1"/>
  <c r="Q11" i="1" s="1"/>
  <c r="O11" i="1"/>
  <c r="T10" i="1"/>
  <c r="P10" i="1"/>
  <c r="Q10" i="1" s="1"/>
  <c r="O10" i="1"/>
  <c r="T9" i="1"/>
  <c r="P9" i="1"/>
  <c r="Q9" i="1" s="1"/>
  <c r="O9" i="1"/>
  <c r="T8" i="1"/>
  <c r="P8" i="1"/>
  <c r="Q8" i="1" s="1"/>
  <c r="O8" i="1"/>
  <c r="T7" i="1"/>
  <c r="P7" i="1"/>
  <c r="Q7" i="1" s="1"/>
  <c r="O7" i="1"/>
  <c r="T6" i="1"/>
  <c r="P6" i="1"/>
  <c r="Q6" i="1" s="1"/>
  <c r="O6" i="1"/>
  <c r="T5" i="1"/>
  <c r="P5" i="1"/>
  <c r="Q5" i="1" s="1"/>
  <c r="O5" i="1"/>
  <c r="T4" i="1"/>
  <c r="P4" i="1"/>
  <c r="Q4" i="1" s="1"/>
  <c r="O4" i="1"/>
  <c r="T3" i="1"/>
  <c r="P3" i="1"/>
  <c r="Q3" i="1" s="1"/>
  <c r="O3" i="1"/>
  <c r="L292" i="2"/>
  <c r="I292" i="2"/>
  <c r="G292" i="2"/>
  <c r="L291" i="2"/>
  <c r="H291" i="2"/>
  <c r="I291" i="2" s="1"/>
  <c r="G291" i="2"/>
  <c r="L290" i="2"/>
  <c r="H290" i="2"/>
  <c r="I290" i="2" s="1"/>
  <c r="G290" i="2"/>
  <c r="L289" i="2"/>
  <c r="H289" i="2"/>
  <c r="I289" i="2" s="1"/>
  <c r="G289" i="2"/>
  <c r="L288" i="2"/>
  <c r="H288" i="2"/>
  <c r="I288" i="2" s="1"/>
  <c r="G288" i="2"/>
  <c r="L287" i="2"/>
  <c r="I287" i="2"/>
  <c r="G287" i="2"/>
  <c r="L286" i="2"/>
  <c r="I286" i="2"/>
  <c r="G286" i="2"/>
  <c r="L285" i="2"/>
  <c r="I285" i="2"/>
  <c r="G285" i="2"/>
  <c r="L284" i="2"/>
  <c r="I284" i="2"/>
  <c r="G284" i="2"/>
  <c r="L283" i="2"/>
  <c r="I283" i="2"/>
  <c r="G283" i="2"/>
  <c r="L282" i="2"/>
  <c r="I282" i="2"/>
  <c r="G282" i="2"/>
  <c r="L281" i="2"/>
  <c r="I281" i="2"/>
  <c r="G281" i="2"/>
  <c r="L280" i="2"/>
  <c r="I280" i="2"/>
  <c r="G280" i="2"/>
  <c r="L279" i="2"/>
  <c r="I279" i="2"/>
  <c r="G279" i="2"/>
  <c r="L278" i="2"/>
  <c r="I278" i="2"/>
  <c r="G278" i="2"/>
  <c r="L277" i="2"/>
  <c r="I277" i="2"/>
  <c r="G277" i="2"/>
  <c r="L276" i="2"/>
  <c r="I276" i="2"/>
  <c r="G276" i="2"/>
  <c r="L275" i="2"/>
  <c r="I275" i="2"/>
  <c r="G275" i="2"/>
  <c r="L274" i="2"/>
  <c r="I274" i="2"/>
  <c r="G274" i="2"/>
  <c r="L273" i="2"/>
  <c r="I273" i="2"/>
  <c r="G273" i="2"/>
  <c r="L272" i="2"/>
  <c r="H272" i="2"/>
  <c r="I272" i="2" s="1"/>
  <c r="G272" i="2"/>
  <c r="L271" i="2"/>
  <c r="H271" i="2"/>
  <c r="I271" i="2" s="1"/>
  <c r="G271" i="2"/>
  <c r="L270" i="2"/>
  <c r="H270" i="2"/>
  <c r="I270" i="2" s="1"/>
  <c r="G270" i="2"/>
  <c r="L269" i="2"/>
  <c r="H269" i="2"/>
  <c r="I269" i="2" s="1"/>
  <c r="G269" i="2"/>
  <c r="L268" i="2"/>
  <c r="H268" i="2"/>
  <c r="I268" i="2" s="1"/>
  <c r="G268" i="2"/>
  <c r="L267" i="2"/>
  <c r="H267" i="2"/>
  <c r="I267" i="2" s="1"/>
  <c r="G267" i="2"/>
  <c r="L266" i="2"/>
  <c r="H266" i="2"/>
  <c r="I266" i="2" s="1"/>
  <c r="G266" i="2"/>
  <c r="L265" i="2"/>
  <c r="H265" i="2"/>
  <c r="I265" i="2" s="1"/>
  <c r="G265" i="2"/>
  <c r="L264" i="2"/>
  <c r="H264" i="2"/>
  <c r="I264" i="2" s="1"/>
  <c r="G264" i="2"/>
  <c r="L263" i="2"/>
  <c r="H263" i="2"/>
  <c r="I263" i="2" s="1"/>
  <c r="G263" i="2"/>
  <c r="L262" i="2"/>
  <c r="H262" i="2"/>
  <c r="I262" i="2" s="1"/>
  <c r="G262" i="2"/>
  <c r="L261" i="2"/>
  <c r="H261" i="2"/>
  <c r="I261" i="2" s="1"/>
  <c r="G261" i="2"/>
  <c r="L260" i="2"/>
  <c r="H260" i="2"/>
  <c r="I260" i="2" s="1"/>
  <c r="G260" i="2"/>
  <c r="L259" i="2"/>
  <c r="H259" i="2"/>
  <c r="I259" i="2" s="1"/>
  <c r="G259" i="2"/>
  <c r="L258" i="2"/>
  <c r="H258" i="2"/>
  <c r="I258" i="2" s="1"/>
  <c r="G258" i="2"/>
  <c r="L257" i="2"/>
  <c r="H257" i="2"/>
  <c r="I257" i="2" s="1"/>
  <c r="G257" i="2"/>
  <c r="L256" i="2"/>
  <c r="H256" i="2"/>
  <c r="I256" i="2" s="1"/>
  <c r="G256" i="2"/>
  <c r="L255" i="2"/>
  <c r="H255" i="2"/>
  <c r="I255" i="2" s="1"/>
  <c r="G255" i="2"/>
  <c r="L254" i="2"/>
  <c r="H254" i="2"/>
  <c r="I254" i="2" s="1"/>
  <c r="G254" i="2"/>
  <c r="L253" i="2"/>
  <c r="H253" i="2"/>
  <c r="I253" i="2" s="1"/>
  <c r="G253" i="2"/>
  <c r="L252" i="2"/>
  <c r="H252" i="2"/>
  <c r="I252" i="2" s="1"/>
  <c r="G252" i="2"/>
  <c r="L251" i="2"/>
  <c r="H251" i="2"/>
  <c r="I251" i="2" s="1"/>
  <c r="G251" i="2"/>
  <c r="L250" i="2"/>
  <c r="H250" i="2"/>
  <c r="I250" i="2" s="1"/>
  <c r="G250" i="2"/>
  <c r="L249" i="2"/>
  <c r="H249" i="2"/>
  <c r="I249" i="2" s="1"/>
  <c r="G249" i="2"/>
  <c r="L248" i="2"/>
  <c r="H248" i="2"/>
  <c r="I248" i="2" s="1"/>
  <c r="G248" i="2"/>
  <c r="L247" i="2"/>
  <c r="H247" i="2"/>
  <c r="I247" i="2" s="1"/>
  <c r="G247" i="2"/>
  <c r="L246" i="2"/>
  <c r="H246" i="2"/>
  <c r="I246" i="2" s="1"/>
  <c r="G246" i="2"/>
  <c r="L245" i="2"/>
  <c r="H245" i="2"/>
  <c r="I245" i="2" s="1"/>
  <c r="G245" i="2"/>
  <c r="L244" i="2"/>
  <c r="H244" i="2"/>
  <c r="I244" i="2" s="1"/>
  <c r="G244" i="2"/>
  <c r="L243" i="2"/>
  <c r="H243" i="2"/>
  <c r="I243" i="2" s="1"/>
  <c r="G243" i="2"/>
  <c r="L242" i="2"/>
  <c r="H242" i="2"/>
  <c r="I242" i="2" s="1"/>
  <c r="G242" i="2"/>
  <c r="L241" i="2"/>
  <c r="H241" i="2"/>
  <c r="I241" i="2" s="1"/>
  <c r="G241" i="2"/>
  <c r="L240" i="2"/>
  <c r="H240" i="2"/>
  <c r="I240" i="2" s="1"/>
  <c r="G240" i="2"/>
  <c r="L239" i="2"/>
  <c r="H239" i="2"/>
  <c r="I239" i="2" s="1"/>
  <c r="G239" i="2"/>
  <c r="L238" i="2"/>
  <c r="H238" i="2"/>
  <c r="I238" i="2" s="1"/>
  <c r="G238" i="2"/>
  <c r="L237" i="2"/>
  <c r="H237" i="2"/>
  <c r="I237" i="2" s="1"/>
  <c r="G237" i="2"/>
  <c r="L236" i="2"/>
  <c r="H236" i="2"/>
  <c r="I236" i="2" s="1"/>
  <c r="G236" i="2"/>
  <c r="L235" i="2"/>
  <c r="H235" i="2"/>
  <c r="I235" i="2" s="1"/>
  <c r="G235" i="2"/>
  <c r="L234" i="2"/>
  <c r="H234" i="2"/>
  <c r="I234" i="2" s="1"/>
  <c r="G234" i="2"/>
  <c r="L233" i="2"/>
  <c r="H233" i="2"/>
  <c r="I233" i="2" s="1"/>
  <c r="G233" i="2"/>
  <c r="L232" i="2"/>
  <c r="H232" i="2"/>
  <c r="I232" i="2" s="1"/>
  <c r="G232" i="2"/>
  <c r="L231" i="2"/>
  <c r="H231" i="2"/>
  <c r="I231" i="2" s="1"/>
  <c r="G231" i="2"/>
  <c r="L230" i="2"/>
  <c r="H230" i="2"/>
  <c r="I230" i="2" s="1"/>
  <c r="G230" i="2"/>
  <c r="L229" i="2"/>
  <c r="H229" i="2"/>
  <c r="I229" i="2" s="1"/>
  <c r="G229" i="2"/>
  <c r="L228" i="2"/>
  <c r="H228" i="2"/>
  <c r="I228" i="2" s="1"/>
  <c r="G228" i="2"/>
  <c r="L227" i="2"/>
  <c r="H227" i="2"/>
  <c r="I227" i="2" s="1"/>
  <c r="G227" i="2"/>
  <c r="L226" i="2"/>
  <c r="H226" i="2"/>
  <c r="I226" i="2" s="1"/>
  <c r="G226" i="2"/>
  <c r="L225" i="2"/>
  <c r="H225" i="2"/>
  <c r="I225" i="2" s="1"/>
  <c r="G225" i="2"/>
  <c r="L224" i="2"/>
  <c r="H224" i="2"/>
  <c r="I224" i="2" s="1"/>
  <c r="G224" i="2"/>
  <c r="L223" i="2"/>
  <c r="H223" i="2"/>
  <c r="I223" i="2" s="1"/>
  <c r="G223" i="2"/>
  <c r="L222" i="2"/>
  <c r="H222" i="2"/>
  <c r="I222" i="2" s="1"/>
  <c r="G222" i="2"/>
  <c r="L221" i="2"/>
  <c r="H221" i="2"/>
  <c r="I221" i="2" s="1"/>
  <c r="G221" i="2"/>
  <c r="L220" i="2"/>
  <c r="H220" i="2"/>
  <c r="I220" i="2" s="1"/>
  <c r="G220" i="2"/>
  <c r="L219" i="2"/>
  <c r="H219" i="2"/>
  <c r="I219" i="2" s="1"/>
  <c r="G219" i="2"/>
  <c r="L218" i="2"/>
  <c r="H218" i="2"/>
  <c r="I218" i="2" s="1"/>
  <c r="G218" i="2"/>
  <c r="L217" i="2"/>
  <c r="H217" i="2"/>
  <c r="I217" i="2" s="1"/>
  <c r="G217" i="2"/>
  <c r="L216" i="2"/>
  <c r="H216" i="2"/>
  <c r="I216" i="2" s="1"/>
  <c r="G216" i="2"/>
  <c r="L215" i="2"/>
  <c r="H215" i="2"/>
  <c r="I215" i="2" s="1"/>
  <c r="G215" i="2"/>
  <c r="L214" i="2"/>
  <c r="H214" i="2"/>
  <c r="I214" i="2" s="1"/>
  <c r="G214" i="2"/>
  <c r="L213" i="2"/>
  <c r="H213" i="2"/>
  <c r="I213" i="2" s="1"/>
  <c r="G213" i="2"/>
  <c r="L212" i="2"/>
  <c r="H212" i="2"/>
  <c r="I212" i="2" s="1"/>
  <c r="G212" i="2"/>
  <c r="L211" i="2"/>
  <c r="H211" i="2"/>
  <c r="I211" i="2" s="1"/>
  <c r="G211" i="2"/>
  <c r="L210" i="2"/>
  <c r="H210" i="2"/>
  <c r="I210" i="2" s="1"/>
  <c r="G210" i="2"/>
  <c r="L209" i="2"/>
  <c r="H209" i="2"/>
  <c r="I209" i="2" s="1"/>
  <c r="G209" i="2"/>
  <c r="L208" i="2"/>
  <c r="H208" i="2"/>
  <c r="I208" i="2" s="1"/>
  <c r="G208" i="2"/>
  <c r="L207" i="2"/>
  <c r="H207" i="2"/>
  <c r="I207" i="2" s="1"/>
  <c r="G207" i="2"/>
  <c r="L206" i="2"/>
  <c r="H206" i="2"/>
  <c r="I206" i="2" s="1"/>
  <c r="G206" i="2"/>
  <c r="L205" i="2"/>
  <c r="H205" i="2"/>
  <c r="I205" i="2" s="1"/>
  <c r="G205" i="2"/>
  <c r="L204" i="2"/>
  <c r="H204" i="2"/>
  <c r="I204" i="2" s="1"/>
  <c r="G204" i="2"/>
  <c r="L203" i="2"/>
  <c r="H203" i="2"/>
  <c r="I203" i="2" s="1"/>
  <c r="G203" i="2"/>
  <c r="L202" i="2"/>
  <c r="H202" i="2"/>
  <c r="I202" i="2" s="1"/>
  <c r="G202" i="2"/>
  <c r="L201" i="2"/>
  <c r="H201" i="2"/>
  <c r="I201" i="2" s="1"/>
  <c r="G201" i="2"/>
  <c r="L200" i="2"/>
  <c r="H200" i="2"/>
  <c r="I200" i="2" s="1"/>
  <c r="G200" i="2"/>
  <c r="L199" i="2"/>
  <c r="H199" i="2"/>
  <c r="I199" i="2" s="1"/>
  <c r="G199" i="2"/>
  <c r="L198" i="2"/>
  <c r="H198" i="2"/>
  <c r="I198" i="2" s="1"/>
  <c r="G198" i="2"/>
  <c r="L197" i="2"/>
  <c r="H197" i="2"/>
  <c r="I197" i="2" s="1"/>
  <c r="G197" i="2"/>
  <c r="L196" i="2"/>
  <c r="H196" i="2"/>
  <c r="I196" i="2" s="1"/>
  <c r="G196" i="2"/>
  <c r="L195" i="2"/>
  <c r="H195" i="2"/>
  <c r="I195" i="2" s="1"/>
  <c r="G195" i="2"/>
  <c r="L194" i="2"/>
  <c r="H194" i="2"/>
  <c r="I194" i="2" s="1"/>
  <c r="G194" i="2"/>
  <c r="L193" i="2"/>
  <c r="H193" i="2"/>
  <c r="I193" i="2" s="1"/>
  <c r="G193" i="2"/>
  <c r="L192" i="2"/>
  <c r="H192" i="2"/>
  <c r="I192" i="2" s="1"/>
  <c r="G192" i="2"/>
  <c r="L191" i="2"/>
  <c r="I191" i="2"/>
  <c r="H191" i="2"/>
  <c r="G191" i="2"/>
  <c r="L190" i="2"/>
  <c r="H190" i="2"/>
  <c r="I190" i="2" s="1"/>
  <c r="G190" i="2"/>
  <c r="L189" i="2"/>
  <c r="H189" i="2"/>
  <c r="I189" i="2" s="1"/>
  <c r="G189" i="2"/>
  <c r="L188" i="2"/>
  <c r="H188" i="2"/>
  <c r="I188" i="2" s="1"/>
  <c r="G188" i="2"/>
  <c r="L187" i="2"/>
  <c r="H187" i="2"/>
  <c r="I187" i="2" s="1"/>
  <c r="G187" i="2"/>
  <c r="L186" i="2"/>
  <c r="H186" i="2"/>
  <c r="I186" i="2" s="1"/>
  <c r="G186" i="2"/>
  <c r="L185" i="2"/>
  <c r="H185" i="2"/>
  <c r="I185" i="2" s="1"/>
  <c r="G185" i="2"/>
  <c r="L184" i="2"/>
  <c r="H184" i="2"/>
  <c r="I184" i="2" s="1"/>
  <c r="G184" i="2"/>
  <c r="L183" i="2"/>
  <c r="H183" i="2"/>
  <c r="I183" i="2" s="1"/>
  <c r="G183" i="2"/>
  <c r="L182" i="2"/>
  <c r="H182" i="2"/>
  <c r="I182" i="2" s="1"/>
  <c r="G182" i="2"/>
  <c r="L181" i="2"/>
  <c r="H181" i="2"/>
  <c r="I181" i="2" s="1"/>
  <c r="G181" i="2"/>
  <c r="L180" i="2"/>
  <c r="H180" i="2"/>
  <c r="I180" i="2" s="1"/>
  <c r="G180" i="2"/>
  <c r="L179" i="2"/>
  <c r="H179" i="2"/>
  <c r="I179" i="2" s="1"/>
  <c r="G179" i="2"/>
  <c r="L178" i="2"/>
  <c r="H178" i="2"/>
  <c r="I178" i="2" s="1"/>
  <c r="G178" i="2"/>
  <c r="L177" i="2"/>
  <c r="H177" i="2"/>
  <c r="I177" i="2" s="1"/>
  <c r="G177" i="2"/>
  <c r="L176" i="2"/>
  <c r="H176" i="2"/>
  <c r="I176" i="2" s="1"/>
  <c r="G176" i="2"/>
  <c r="L175" i="2"/>
  <c r="I175" i="2"/>
  <c r="H175" i="2"/>
  <c r="G175" i="2"/>
  <c r="L174" i="2"/>
  <c r="H174" i="2"/>
  <c r="I174" i="2" s="1"/>
  <c r="G174" i="2"/>
  <c r="L173" i="2"/>
  <c r="H173" i="2"/>
  <c r="I173" i="2" s="1"/>
  <c r="G173" i="2"/>
  <c r="L172" i="2"/>
  <c r="H172" i="2"/>
  <c r="I172" i="2" s="1"/>
  <c r="G172" i="2"/>
  <c r="L171" i="2"/>
  <c r="H171" i="2"/>
  <c r="I171" i="2" s="1"/>
  <c r="G171" i="2"/>
  <c r="L170" i="2"/>
  <c r="H170" i="2"/>
  <c r="I170" i="2" s="1"/>
  <c r="G170" i="2"/>
  <c r="L169" i="2"/>
  <c r="H169" i="2"/>
  <c r="I169" i="2" s="1"/>
  <c r="G169" i="2"/>
  <c r="L168" i="2"/>
  <c r="H168" i="2"/>
  <c r="I168" i="2" s="1"/>
  <c r="G168" i="2"/>
  <c r="L167" i="2"/>
  <c r="I167" i="2"/>
  <c r="H167" i="2"/>
  <c r="G167" i="2"/>
  <c r="L166" i="2"/>
  <c r="H166" i="2"/>
  <c r="I166" i="2" s="1"/>
  <c r="G166" i="2"/>
  <c r="L165" i="2"/>
  <c r="H165" i="2"/>
  <c r="I165" i="2" s="1"/>
  <c r="G165" i="2"/>
  <c r="L164" i="2"/>
  <c r="H164" i="2"/>
  <c r="I164" i="2" s="1"/>
  <c r="G164" i="2"/>
  <c r="L163" i="2"/>
  <c r="H163" i="2"/>
  <c r="I163" i="2" s="1"/>
  <c r="G163" i="2"/>
  <c r="L162" i="2"/>
  <c r="H162" i="2"/>
  <c r="I162" i="2" s="1"/>
  <c r="G162" i="2"/>
  <c r="L161" i="2"/>
  <c r="H161" i="2"/>
  <c r="I161" i="2" s="1"/>
  <c r="G161" i="2"/>
  <c r="L160" i="2"/>
  <c r="H160" i="2"/>
  <c r="I160" i="2" s="1"/>
  <c r="G160" i="2"/>
  <c r="L159" i="2"/>
  <c r="I159" i="2"/>
  <c r="H159" i="2"/>
  <c r="G159" i="2"/>
  <c r="L158" i="2"/>
  <c r="H158" i="2"/>
  <c r="I158" i="2" s="1"/>
  <c r="G158" i="2"/>
  <c r="L157" i="2"/>
  <c r="I157" i="2"/>
  <c r="H157" i="2"/>
  <c r="G157" i="2"/>
  <c r="L156" i="2"/>
  <c r="I156" i="2"/>
  <c r="H156" i="2"/>
  <c r="G156" i="2"/>
  <c r="L155" i="2"/>
  <c r="I155" i="2"/>
  <c r="H155" i="2"/>
  <c r="G155" i="2"/>
  <c r="L154" i="2"/>
  <c r="I154" i="2"/>
  <c r="H154" i="2"/>
  <c r="G154" i="2"/>
  <c r="L153" i="2"/>
  <c r="I153" i="2"/>
  <c r="H153" i="2"/>
  <c r="G153" i="2"/>
  <c r="L152" i="2"/>
  <c r="H152" i="2"/>
  <c r="I152" i="2" s="1"/>
  <c r="G152" i="2"/>
  <c r="L151" i="2"/>
  <c r="H151" i="2"/>
  <c r="I151" i="2" s="1"/>
  <c r="G151" i="2"/>
  <c r="L150" i="2"/>
  <c r="H150" i="2"/>
  <c r="I150" i="2" s="1"/>
  <c r="G150" i="2"/>
  <c r="L149" i="2"/>
  <c r="H149" i="2"/>
  <c r="I149" i="2" s="1"/>
  <c r="G149" i="2"/>
  <c r="L148" i="2"/>
  <c r="H148" i="2"/>
  <c r="I148" i="2" s="1"/>
  <c r="G148" i="2"/>
  <c r="L147" i="2"/>
  <c r="H147" i="2"/>
  <c r="I147" i="2" s="1"/>
  <c r="G147" i="2"/>
  <c r="L146" i="2"/>
  <c r="H146" i="2"/>
  <c r="I146" i="2" s="1"/>
  <c r="G146" i="2"/>
  <c r="L145" i="2"/>
  <c r="H145" i="2"/>
  <c r="I145" i="2" s="1"/>
  <c r="G145" i="2"/>
  <c r="L144" i="2"/>
  <c r="H144" i="2"/>
  <c r="I144" i="2" s="1"/>
  <c r="G144" i="2"/>
  <c r="L143" i="2"/>
  <c r="I143" i="2"/>
  <c r="H143" i="2"/>
  <c r="G143" i="2"/>
  <c r="L142" i="2"/>
  <c r="H142" i="2"/>
  <c r="I142" i="2" s="1"/>
  <c r="G142" i="2"/>
  <c r="L141" i="2"/>
  <c r="H141" i="2"/>
  <c r="I141" i="2" s="1"/>
  <c r="G141" i="2"/>
  <c r="L140" i="2"/>
  <c r="H140" i="2"/>
  <c r="I140" i="2" s="1"/>
  <c r="G140" i="2"/>
  <c r="L139" i="2"/>
  <c r="H139" i="2"/>
  <c r="I139" i="2" s="1"/>
  <c r="G139" i="2"/>
  <c r="L138" i="2"/>
  <c r="H138" i="2"/>
  <c r="I138" i="2" s="1"/>
  <c r="G138" i="2"/>
  <c r="L137" i="2"/>
  <c r="H137" i="2"/>
  <c r="I137" i="2" s="1"/>
  <c r="G137" i="2"/>
  <c r="L136" i="2"/>
  <c r="H136" i="2"/>
  <c r="I136" i="2" s="1"/>
  <c r="G136" i="2"/>
  <c r="L135" i="2"/>
  <c r="H135" i="2"/>
  <c r="I135" i="2" s="1"/>
  <c r="G135" i="2"/>
  <c r="L134" i="2"/>
  <c r="H134" i="2"/>
  <c r="I134" i="2" s="1"/>
  <c r="G134" i="2"/>
  <c r="L133" i="2"/>
  <c r="H133" i="2"/>
  <c r="I133" i="2" s="1"/>
  <c r="G133" i="2"/>
  <c r="L132" i="2"/>
  <c r="H132" i="2"/>
  <c r="I132" i="2" s="1"/>
  <c r="G132" i="2"/>
  <c r="L131" i="2"/>
  <c r="H131" i="2"/>
  <c r="I131" i="2" s="1"/>
  <c r="G131" i="2"/>
  <c r="L130" i="2"/>
  <c r="H130" i="2"/>
  <c r="I130" i="2" s="1"/>
  <c r="G130" i="2"/>
  <c r="L129" i="2"/>
  <c r="H129" i="2"/>
  <c r="I129" i="2" s="1"/>
  <c r="G129" i="2"/>
  <c r="L128" i="2"/>
  <c r="H128" i="2"/>
  <c r="I128" i="2" s="1"/>
  <c r="G128" i="2"/>
  <c r="L127" i="2"/>
  <c r="I127" i="2"/>
  <c r="H127" i="2"/>
  <c r="G127" i="2"/>
  <c r="L126" i="2"/>
  <c r="H126" i="2"/>
  <c r="I126" i="2" s="1"/>
  <c r="G126" i="2"/>
  <c r="L125" i="2"/>
  <c r="H125" i="2"/>
  <c r="I125" i="2" s="1"/>
  <c r="G125" i="2"/>
  <c r="L124" i="2"/>
  <c r="H124" i="2"/>
  <c r="I124" i="2" s="1"/>
  <c r="G124" i="2"/>
  <c r="L123" i="2"/>
  <c r="H123" i="2"/>
  <c r="I123" i="2" s="1"/>
  <c r="G123" i="2"/>
  <c r="L122" i="2"/>
  <c r="H122" i="2"/>
  <c r="I122" i="2" s="1"/>
  <c r="G122" i="2"/>
  <c r="L121" i="2"/>
  <c r="H121" i="2"/>
  <c r="I121" i="2" s="1"/>
  <c r="G121" i="2"/>
  <c r="L120" i="2"/>
  <c r="H120" i="2"/>
  <c r="I120" i="2" s="1"/>
  <c r="G120" i="2"/>
  <c r="L119" i="2"/>
  <c r="I119" i="2"/>
  <c r="H119" i="2"/>
  <c r="G119" i="2"/>
  <c r="L118" i="2"/>
  <c r="H118" i="2"/>
  <c r="I118" i="2" s="1"/>
  <c r="G118" i="2"/>
  <c r="L117" i="2"/>
  <c r="H117" i="2"/>
  <c r="I117" i="2" s="1"/>
  <c r="G117" i="2"/>
  <c r="L116" i="2"/>
  <c r="H116" i="2"/>
  <c r="I116" i="2" s="1"/>
  <c r="G116" i="2"/>
  <c r="L115" i="2"/>
  <c r="I115" i="2"/>
  <c r="H115" i="2"/>
  <c r="G115" i="2"/>
  <c r="L114" i="2"/>
  <c r="H114" i="2"/>
  <c r="I114" i="2" s="1"/>
  <c r="G114" i="2"/>
  <c r="L113" i="2"/>
  <c r="H113" i="2"/>
  <c r="I113" i="2" s="1"/>
  <c r="G113" i="2"/>
  <c r="L112" i="2"/>
  <c r="H112" i="2"/>
  <c r="I112" i="2" s="1"/>
  <c r="G112" i="2"/>
  <c r="L111" i="2"/>
  <c r="I111" i="2"/>
  <c r="H111" i="2"/>
  <c r="G111" i="2"/>
  <c r="L110" i="2"/>
  <c r="I110" i="2"/>
  <c r="H110" i="2"/>
  <c r="G110" i="2"/>
  <c r="L109" i="2"/>
  <c r="I109" i="2"/>
  <c r="H109" i="2"/>
  <c r="G109" i="2"/>
  <c r="L108" i="2"/>
  <c r="I108" i="2"/>
  <c r="H108" i="2"/>
  <c r="G108" i="2"/>
  <c r="L107" i="2"/>
  <c r="I107" i="2"/>
  <c r="H107" i="2"/>
  <c r="G107" i="2"/>
  <c r="L106" i="2"/>
  <c r="H106" i="2"/>
  <c r="I106" i="2" s="1"/>
  <c r="G106" i="2"/>
  <c r="L105" i="2"/>
  <c r="I105" i="2"/>
  <c r="H105" i="2"/>
  <c r="G105" i="2"/>
  <c r="L104" i="2"/>
  <c r="H104" i="2"/>
  <c r="I104" i="2" s="1"/>
  <c r="G104" i="2"/>
  <c r="L103" i="2"/>
  <c r="H103" i="2"/>
  <c r="I103" i="2" s="1"/>
  <c r="G103" i="2"/>
  <c r="L102" i="2"/>
  <c r="H102" i="2"/>
  <c r="I102" i="2" s="1"/>
  <c r="G102" i="2"/>
  <c r="L101" i="2"/>
  <c r="H101" i="2"/>
  <c r="I101" i="2" s="1"/>
  <c r="G101" i="2"/>
  <c r="L100" i="2"/>
  <c r="H100" i="2"/>
  <c r="I100" i="2" s="1"/>
  <c r="G100" i="2"/>
  <c r="L99" i="2"/>
  <c r="H99" i="2"/>
  <c r="I99" i="2" s="1"/>
  <c r="G99" i="2"/>
  <c r="L98" i="2"/>
  <c r="H98" i="2"/>
  <c r="I98" i="2" s="1"/>
  <c r="G98" i="2"/>
  <c r="L97" i="2"/>
  <c r="H97" i="2"/>
  <c r="I97" i="2" s="1"/>
  <c r="G97" i="2"/>
  <c r="L96" i="2"/>
  <c r="H96" i="2"/>
  <c r="I96" i="2" s="1"/>
  <c r="G96" i="2"/>
  <c r="L95" i="2"/>
  <c r="I95" i="2"/>
  <c r="H95" i="2"/>
  <c r="G95" i="2"/>
  <c r="L94" i="2"/>
  <c r="I94" i="2"/>
  <c r="H94" i="2"/>
  <c r="G94" i="2"/>
  <c r="L93" i="2"/>
  <c r="I93" i="2"/>
  <c r="H93" i="2"/>
  <c r="G93" i="2"/>
  <c r="L92" i="2"/>
  <c r="I92" i="2"/>
  <c r="H92" i="2"/>
  <c r="G92" i="2"/>
  <c r="L91" i="2"/>
  <c r="I91" i="2"/>
  <c r="H91" i="2"/>
  <c r="G91" i="2"/>
  <c r="L90" i="2"/>
  <c r="H90" i="2"/>
  <c r="I90" i="2" s="1"/>
  <c r="G90" i="2"/>
  <c r="L89" i="2"/>
  <c r="H89" i="2"/>
  <c r="I89" i="2" s="1"/>
  <c r="G89" i="2"/>
  <c r="L88" i="2"/>
  <c r="H88" i="2"/>
  <c r="I88" i="2" s="1"/>
  <c r="G88" i="2"/>
  <c r="L87" i="2"/>
  <c r="H87" i="2"/>
  <c r="I87" i="2" s="1"/>
  <c r="G87" i="2"/>
  <c r="L86" i="2"/>
  <c r="H86" i="2"/>
  <c r="I86" i="2" s="1"/>
  <c r="G86" i="2"/>
  <c r="L85" i="2"/>
  <c r="H85" i="2"/>
  <c r="I85" i="2" s="1"/>
  <c r="G85" i="2"/>
  <c r="L84" i="2"/>
  <c r="H84" i="2"/>
  <c r="I84" i="2" s="1"/>
  <c r="G84" i="2"/>
  <c r="L83" i="2"/>
  <c r="H83" i="2"/>
  <c r="I83" i="2" s="1"/>
  <c r="G83" i="2"/>
  <c r="L82" i="2"/>
  <c r="H82" i="2"/>
  <c r="I82" i="2" s="1"/>
  <c r="G82" i="2"/>
  <c r="L81" i="2"/>
  <c r="H81" i="2"/>
  <c r="I81" i="2" s="1"/>
  <c r="G81" i="2"/>
  <c r="L80" i="2"/>
  <c r="H80" i="2"/>
  <c r="I80" i="2" s="1"/>
  <c r="G80" i="2"/>
  <c r="L79" i="2"/>
  <c r="I79" i="2"/>
  <c r="H79" i="2"/>
  <c r="G79" i="2"/>
  <c r="L78" i="2"/>
  <c r="I78" i="2"/>
  <c r="H78" i="2"/>
  <c r="G78" i="2"/>
  <c r="L77" i="2"/>
  <c r="I77" i="2"/>
  <c r="H77" i="2"/>
  <c r="G77" i="2"/>
  <c r="L76" i="2"/>
  <c r="I76" i="2"/>
  <c r="H76" i="2"/>
  <c r="G76" i="2"/>
  <c r="L75" i="2"/>
  <c r="I75" i="2"/>
  <c r="H75" i="2"/>
  <c r="G75" i="2"/>
  <c r="L74" i="2"/>
  <c r="H74" i="2"/>
  <c r="I74" i="2" s="1"/>
  <c r="G74" i="2"/>
  <c r="L73" i="2"/>
  <c r="H73" i="2"/>
  <c r="I73" i="2" s="1"/>
  <c r="G73" i="2"/>
  <c r="L72" i="2"/>
  <c r="H72" i="2"/>
  <c r="I72" i="2" s="1"/>
  <c r="G72" i="2"/>
  <c r="L71" i="2"/>
  <c r="H71" i="2"/>
  <c r="I71" i="2" s="1"/>
  <c r="G71" i="2"/>
  <c r="L70" i="2"/>
  <c r="H70" i="2"/>
  <c r="I70" i="2" s="1"/>
  <c r="G70" i="2"/>
  <c r="L69" i="2"/>
  <c r="H69" i="2"/>
  <c r="I69" i="2" s="1"/>
  <c r="G69" i="2"/>
  <c r="L68" i="2"/>
  <c r="H68" i="2"/>
  <c r="I68" i="2" s="1"/>
  <c r="G68" i="2"/>
  <c r="L67" i="2"/>
  <c r="H67" i="2"/>
  <c r="I67" i="2" s="1"/>
  <c r="G67" i="2"/>
  <c r="L66" i="2"/>
  <c r="H66" i="2"/>
  <c r="I66" i="2" s="1"/>
  <c r="G66" i="2"/>
  <c r="L65" i="2"/>
  <c r="H65" i="2"/>
  <c r="I65" i="2" s="1"/>
  <c r="G65" i="2"/>
  <c r="L64" i="2"/>
  <c r="H64" i="2"/>
  <c r="I64" i="2" s="1"/>
  <c r="G64" i="2"/>
  <c r="L63" i="2"/>
  <c r="I63" i="2"/>
  <c r="H63" i="2"/>
  <c r="G63" i="2"/>
  <c r="L62" i="2"/>
  <c r="I62" i="2"/>
  <c r="H62" i="2"/>
  <c r="G62" i="2"/>
  <c r="L61" i="2"/>
  <c r="I61" i="2"/>
  <c r="H61" i="2"/>
  <c r="G61" i="2"/>
  <c r="L60" i="2"/>
  <c r="I60" i="2"/>
  <c r="H60" i="2"/>
  <c r="G60" i="2"/>
  <c r="L59" i="2"/>
  <c r="I59" i="2"/>
  <c r="H59" i="2"/>
  <c r="G59" i="2"/>
  <c r="L58" i="2"/>
  <c r="H58" i="2"/>
  <c r="I58" i="2" s="1"/>
  <c r="G58" i="2"/>
  <c r="L57" i="2"/>
  <c r="H57" i="2"/>
  <c r="I57" i="2" s="1"/>
  <c r="G57" i="2"/>
  <c r="L56" i="2"/>
  <c r="H56" i="2"/>
  <c r="I56" i="2" s="1"/>
  <c r="G56" i="2"/>
  <c r="L55" i="2"/>
  <c r="I55" i="2"/>
  <c r="H55" i="2"/>
  <c r="G55" i="2"/>
  <c r="L54" i="2"/>
  <c r="I54" i="2"/>
  <c r="H54" i="2"/>
  <c r="G54" i="2"/>
  <c r="L53" i="2"/>
  <c r="I53" i="2"/>
  <c r="H53" i="2"/>
  <c r="G53" i="2"/>
  <c r="L52" i="2"/>
  <c r="I52" i="2"/>
  <c r="H52" i="2"/>
  <c r="G52" i="2"/>
  <c r="L51" i="2"/>
  <c r="H51" i="2"/>
  <c r="I51" i="2" s="1"/>
  <c r="G51" i="2"/>
  <c r="L50" i="2"/>
  <c r="H50" i="2"/>
  <c r="I50" i="2" s="1"/>
  <c r="G50" i="2"/>
  <c r="L49" i="2"/>
  <c r="H49" i="2"/>
  <c r="I49" i="2" s="1"/>
  <c r="G49" i="2"/>
  <c r="L48" i="2"/>
  <c r="I48" i="2"/>
  <c r="H48" i="2"/>
  <c r="G48" i="2"/>
  <c r="L47" i="2"/>
  <c r="H47" i="2"/>
  <c r="I47" i="2" s="1"/>
  <c r="G47" i="2"/>
  <c r="L46" i="2"/>
  <c r="I46" i="2"/>
  <c r="H46" i="2"/>
  <c r="G46" i="2"/>
  <c r="L45" i="2"/>
  <c r="H45" i="2"/>
  <c r="I45" i="2" s="1"/>
  <c r="G45" i="2"/>
  <c r="L44" i="2"/>
  <c r="H44" i="2"/>
  <c r="I44" i="2" s="1"/>
  <c r="G44" i="2"/>
  <c r="L43" i="2"/>
  <c r="H43" i="2"/>
  <c r="I43" i="2" s="1"/>
  <c r="G43" i="2"/>
  <c r="L42" i="2"/>
  <c r="H42" i="2"/>
  <c r="I42" i="2" s="1"/>
  <c r="G42" i="2"/>
  <c r="L41" i="2"/>
  <c r="H41" i="2"/>
  <c r="I41" i="2" s="1"/>
  <c r="G41" i="2"/>
  <c r="L40" i="2"/>
  <c r="I40" i="2"/>
  <c r="H40" i="2"/>
  <c r="G40" i="2"/>
  <c r="L39" i="2"/>
  <c r="H39" i="2"/>
  <c r="I39" i="2" s="1"/>
  <c r="G39" i="2"/>
  <c r="L38" i="2"/>
  <c r="H38" i="2"/>
  <c r="I38" i="2" s="1"/>
  <c r="G38" i="2"/>
  <c r="L37" i="2"/>
  <c r="H37" i="2"/>
  <c r="I37" i="2" s="1"/>
  <c r="G37" i="2"/>
  <c r="L36" i="2"/>
  <c r="H36" i="2"/>
  <c r="I36" i="2" s="1"/>
  <c r="G36" i="2"/>
  <c r="L35" i="2"/>
  <c r="H35" i="2"/>
  <c r="I35" i="2" s="1"/>
  <c r="G35" i="2"/>
  <c r="L34" i="2"/>
  <c r="H34" i="2"/>
  <c r="I34" i="2" s="1"/>
  <c r="G34" i="2"/>
  <c r="L33" i="2"/>
  <c r="H33" i="2"/>
  <c r="I33" i="2" s="1"/>
  <c r="G33" i="2"/>
  <c r="L32" i="2"/>
  <c r="J32" i="2"/>
  <c r="K32" i="2" s="1"/>
  <c r="H32" i="2"/>
  <c r="I32" i="2" s="1"/>
  <c r="G32" i="2"/>
  <c r="L31" i="2"/>
  <c r="H31" i="2"/>
  <c r="I31" i="2" s="1"/>
  <c r="G31" i="2"/>
  <c r="L30" i="2"/>
  <c r="I30" i="2"/>
  <c r="H30" i="2"/>
  <c r="G30" i="2"/>
  <c r="L29" i="2"/>
  <c r="H29" i="2"/>
  <c r="I29" i="2" s="1"/>
  <c r="G29" i="2"/>
  <c r="L28" i="2"/>
  <c r="H28" i="2"/>
  <c r="I28" i="2" s="1"/>
  <c r="G28" i="2"/>
  <c r="L27" i="2"/>
  <c r="H27" i="2"/>
  <c r="I27" i="2" s="1"/>
  <c r="G27" i="2"/>
  <c r="L26" i="2"/>
  <c r="I26" i="2"/>
  <c r="H26" i="2"/>
  <c r="G26" i="2"/>
  <c r="L25" i="2"/>
  <c r="H25" i="2"/>
  <c r="I25" i="2" s="1"/>
  <c r="G25" i="2"/>
  <c r="L24" i="2"/>
  <c r="H24" i="2"/>
  <c r="I24" i="2" s="1"/>
  <c r="G24" i="2"/>
  <c r="L23" i="2"/>
  <c r="H23" i="2"/>
  <c r="I23" i="2" s="1"/>
  <c r="G23" i="2"/>
  <c r="L22" i="2"/>
  <c r="I22" i="2"/>
  <c r="H22" i="2"/>
  <c r="G22" i="2"/>
  <c r="L21" i="2"/>
  <c r="H21" i="2"/>
  <c r="I21" i="2" s="1"/>
  <c r="G21" i="2"/>
  <c r="L20" i="2"/>
  <c r="I20" i="2"/>
  <c r="H20" i="2"/>
  <c r="G20" i="2"/>
  <c r="L19" i="2"/>
  <c r="H19" i="2"/>
  <c r="I19" i="2" s="1"/>
  <c r="G19" i="2"/>
  <c r="L18" i="2"/>
  <c r="H18" i="2"/>
  <c r="I18" i="2" s="1"/>
  <c r="G18" i="2"/>
  <c r="L17" i="2"/>
  <c r="H17" i="2"/>
  <c r="I17" i="2" s="1"/>
  <c r="G17" i="2"/>
  <c r="L16" i="2"/>
  <c r="H16" i="2"/>
  <c r="I16" i="2" s="1"/>
  <c r="G16" i="2"/>
  <c r="L15" i="2"/>
  <c r="H15" i="2"/>
  <c r="I15" i="2" s="1"/>
  <c r="G15" i="2"/>
  <c r="L14" i="2"/>
  <c r="I14" i="2"/>
  <c r="H14" i="2"/>
  <c r="G14" i="2"/>
  <c r="L13" i="2"/>
  <c r="H13" i="2"/>
  <c r="I13" i="2" s="1"/>
  <c r="G13" i="2"/>
  <c r="L12" i="2"/>
  <c r="H12" i="2"/>
  <c r="I12" i="2" s="1"/>
  <c r="G12" i="2"/>
  <c r="L11" i="2"/>
  <c r="H11" i="2"/>
  <c r="I11" i="2" s="1"/>
  <c r="G11" i="2"/>
  <c r="L10" i="2"/>
  <c r="H10" i="2"/>
  <c r="I10" i="2" s="1"/>
  <c r="G10" i="2"/>
  <c r="L9" i="2"/>
  <c r="H9" i="2"/>
  <c r="I9" i="2" s="1"/>
  <c r="G9" i="2"/>
  <c r="L8" i="2"/>
  <c r="H8" i="2"/>
  <c r="I8" i="2" s="1"/>
  <c r="G8" i="2"/>
  <c r="L7" i="2"/>
  <c r="H7" i="2"/>
  <c r="I7" i="2" s="1"/>
  <c r="G7" i="2"/>
  <c r="L6" i="2"/>
  <c r="I6" i="2"/>
  <c r="H6" i="2"/>
  <c r="G6" i="2"/>
  <c r="L5" i="2"/>
  <c r="H5" i="2"/>
  <c r="I5" i="2" s="1"/>
  <c r="G5" i="2"/>
  <c r="L4" i="2"/>
  <c r="J4" i="2"/>
  <c r="K4" i="2" s="1"/>
  <c r="I4" i="2"/>
  <c r="H4" i="2"/>
  <c r="G4" i="2"/>
  <c r="U10" i="1" l="1"/>
  <c r="U13" i="1"/>
  <c r="U8" i="1"/>
  <c r="U12" i="1"/>
  <c r="U6" i="1"/>
  <c r="U9" i="1"/>
  <c r="U7" i="1"/>
  <c r="U11" i="1"/>
  <c r="U5" i="1"/>
  <c r="U21" i="1"/>
  <c r="U33" i="1"/>
  <c r="U49" i="1"/>
  <c r="U53" i="1"/>
  <c r="U61" i="1"/>
  <c r="U65" i="1"/>
  <c r="U77" i="1"/>
  <c r="U117" i="1"/>
  <c r="U17" i="1"/>
  <c r="U39" i="1"/>
  <c r="U57" i="1"/>
  <c r="U89" i="1"/>
  <c r="U97" i="1"/>
  <c r="U101" i="1"/>
  <c r="U113" i="1"/>
  <c r="U121" i="1"/>
  <c r="U125" i="1"/>
  <c r="U133" i="1"/>
  <c r="U141" i="1"/>
  <c r="U153" i="1"/>
  <c r="U165" i="1"/>
  <c r="U229" i="1"/>
  <c r="U233" i="1"/>
  <c r="U245" i="1"/>
  <c r="U253" i="1"/>
  <c r="U261" i="1"/>
  <c r="U265" i="1"/>
  <c r="U269" i="1"/>
  <c r="U273" i="1"/>
  <c r="U16" i="1"/>
  <c r="U24" i="1"/>
  <c r="U56" i="1"/>
  <c r="U60" i="1"/>
  <c r="U68" i="1"/>
  <c r="U80" i="1"/>
  <c r="U100" i="1"/>
  <c r="U108" i="1"/>
  <c r="U112" i="1"/>
  <c r="U120" i="1"/>
  <c r="U124" i="1"/>
  <c r="U132" i="1"/>
  <c r="U140" i="1"/>
  <c r="U144" i="1"/>
  <c r="U152" i="1"/>
  <c r="U156" i="1"/>
  <c r="U168" i="1"/>
  <c r="U180" i="1"/>
  <c r="U184" i="1"/>
  <c r="U200" i="1"/>
  <c r="U208" i="1"/>
  <c r="U212" i="1"/>
  <c r="U220" i="1"/>
  <c r="U232" i="1"/>
  <c r="U236" i="1"/>
  <c r="U244" i="1"/>
  <c r="U248" i="1"/>
  <c r="U256" i="1"/>
  <c r="U260" i="1"/>
  <c r="U268" i="1"/>
  <c r="U272" i="1"/>
  <c r="U280" i="1"/>
  <c r="U3" i="1"/>
  <c r="U15" i="1"/>
  <c r="U19" i="1"/>
  <c r="U27" i="1"/>
  <c r="U31" i="1"/>
  <c r="U51" i="1"/>
  <c r="U55" i="1"/>
  <c r="U59" i="1"/>
  <c r="U63" i="1"/>
  <c r="U67" i="1"/>
  <c r="U71" i="1"/>
  <c r="U75" i="1"/>
  <c r="U79" i="1"/>
  <c r="U83" i="1"/>
  <c r="U87" i="1"/>
  <c r="U91" i="1"/>
  <c r="U95" i="1"/>
  <c r="U99" i="1"/>
  <c r="U103" i="1"/>
  <c r="U107" i="1"/>
  <c r="U111" i="1"/>
  <c r="U115" i="1"/>
  <c r="U119" i="1"/>
  <c r="U123" i="1"/>
  <c r="U127" i="1"/>
  <c r="U131" i="1"/>
  <c r="U135" i="1"/>
  <c r="U139" i="1"/>
  <c r="U143" i="1"/>
  <c r="U147" i="1"/>
  <c r="U151" i="1"/>
  <c r="U155" i="1"/>
  <c r="U159" i="1"/>
  <c r="U163" i="1"/>
  <c r="U167" i="1"/>
  <c r="U171" i="1"/>
  <c r="U175" i="1"/>
  <c r="U179" i="1"/>
  <c r="U183" i="1"/>
  <c r="U187" i="1"/>
  <c r="U191" i="1"/>
  <c r="U195" i="1"/>
  <c r="U199" i="1"/>
  <c r="U203" i="1"/>
  <c r="U207" i="1"/>
  <c r="U211" i="1"/>
  <c r="U215" i="1"/>
  <c r="U219" i="1"/>
  <c r="U223" i="1"/>
  <c r="U227" i="1"/>
  <c r="U231" i="1"/>
  <c r="U235" i="1"/>
  <c r="U239" i="1"/>
  <c r="U243" i="1"/>
  <c r="U247" i="1"/>
  <c r="U251" i="1"/>
  <c r="U255" i="1"/>
  <c r="U259" i="1"/>
  <c r="U263" i="1"/>
  <c r="U267" i="1"/>
  <c r="U271" i="1"/>
  <c r="U279" i="1"/>
  <c r="U283" i="1"/>
  <c r="U287" i="1"/>
  <c r="U25" i="1"/>
  <c r="U29" i="1"/>
  <c r="U45" i="1"/>
  <c r="U69" i="1"/>
  <c r="U73" i="1"/>
  <c r="U81" i="1"/>
  <c r="U85" i="1"/>
  <c r="U93" i="1"/>
  <c r="U105" i="1"/>
  <c r="U109" i="1"/>
  <c r="U129" i="1"/>
  <c r="U137" i="1"/>
  <c r="U145" i="1"/>
  <c r="U149" i="1"/>
  <c r="U157" i="1"/>
  <c r="U161" i="1"/>
  <c r="U169" i="1"/>
  <c r="U173" i="1"/>
  <c r="U177" i="1"/>
  <c r="U181" i="1"/>
  <c r="U185" i="1"/>
  <c r="U189" i="1"/>
  <c r="U193" i="1"/>
  <c r="U197" i="1"/>
  <c r="U201" i="1"/>
  <c r="U205" i="1"/>
  <c r="U209" i="1"/>
  <c r="U213" i="1"/>
  <c r="U217" i="1"/>
  <c r="U221" i="1"/>
  <c r="U225" i="1"/>
  <c r="U237" i="1"/>
  <c r="U241" i="1"/>
  <c r="U249" i="1"/>
  <c r="U257" i="1"/>
  <c r="U277" i="1"/>
  <c r="U281" i="1"/>
  <c r="U285" i="1"/>
  <c r="U4" i="1"/>
  <c r="U20" i="1"/>
  <c r="U28" i="1"/>
  <c r="U32" i="1"/>
  <c r="U38" i="1"/>
  <c r="U42" i="1"/>
  <c r="U44" i="1"/>
  <c r="U48" i="1"/>
  <c r="U52" i="1"/>
  <c r="U64" i="1"/>
  <c r="U72" i="1"/>
  <c r="U76" i="1"/>
  <c r="U84" i="1"/>
  <c r="U88" i="1"/>
  <c r="U92" i="1"/>
  <c r="U96" i="1"/>
  <c r="U104" i="1"/>
  <c r="U116" i="1"/>
  <c r="U128" i="1"/>
  <c r="U136" i="1"/>
  <c r="U148" i="1"/>
  <c r="U160" i="1"/>
  <c r="U164" i="1"/>
  <c r="U172" i="1"/>
  <c r="U176" i="1"/>
  <c r="U188" i="1"/>
  <c r="U192" i="1"/>
  <c r="U196" i="1"/>
  <c r="U204" i="1"/>
  <c r="U216" i="1"/>
  <c r="U224" i="1"/>
  <c r="U228" i="1"/>
  <c r="U240" i="1"/>
  <c r="U252" i="1"/>
  <c r="U264" i="1"/>
  <c r="U276" i="1"/>
  <c r="U284" i="1"/>
  <c r="U23" i="1"/>
  <c r="U35" i="1"/>
  <c r="U41" i="1"/>
  <c r="U43" i="1"/>
  <c r="U47" i="1"/>
  <c r="U14" i="1"/>
  <c r="U18" i="1"/>
  <c r="U22" i="1"/>
  <c r="U26" i="1"/>
  <c r="U30" i="1"/>
  <c r="U34" i="1"/>
  <c r="U40" i="1"/>
  <c r="U46" i="1"/>
  <c r="U50" i="1"/>
  <c r="U54" i="1"/>
  <c r="U58" i="1"/>
  <c r="U62" i="1"/>
  <c r="U66" i="1"/>
  <c r="U70" i="1"/>
  <c r="U74" i="1"/>
  <c r="U78" i="1"/>
  <c r="U82" i="1"/>
  <c r="U86" i="1"/>
  <c r="U90" i="1"/>
  <c r="U94" i="1"/>
  <c r="U98" i="1"/>
  <c r="U102" i="1"/>
  <c r="U106" i="1"/>
  <c r="U110" i="1"/>
  <c r="U114" i="1"/>
  <c r="U118" i="1"/>
  <c r="U122" i="1"/>
  <c r="U126" i="1"/>
  <c r="U130" i="1"/>
  <c r="U134" i="1"/>
  <c r="U138" i="1"/>
  <c r="U142" i="1"/>
  <c r="U146" i="1"/>
  <c r="U150" i="1"/>
  <c r="U154" i="1"/>
  <c r="U158" i="1"/>
  <c r="U162" i="1"/>
  <c r="U166" i="1"/>
  <c r="U170" i="1"/>
  <c r="U174" i="1"/>
  <c r="U178" i="1"/>
  <c r="U182" i="1"/>
  <c r="U186" i="1"/>
  <c r="U190" i="1"/>
  <c r="U194" i="1"/>
  <c r="U198" i="1"/>
  <c r="U202" i="1"/>
  <c r="U206" i="1"/>
  <c r="U210" i="1"/>
  <c r="U214" i="1"/>
  <c r="U218" i="1"/>
  <c r="U222" i="1"/>
  <c r="U226" i="1"/>
  <c r="U230" i="1"/>
  <c r="U234" i="1"/>
  <c r="U238" i="1"/>
  <c r="U242" i="1"/>
  <c r="U246" i="1"/>
  <c r="U250" i="1"/>
  <c r="U254" i="1"/>
  <c r="U258" i="1"/>
  <c r="U262" i="1"/>
  <c r="U266" i="1"/>
  <c r="U270" i="1"/>
  <c r="U274" i="1"/>
  <c r="U278" i="1"/>
  <c r="U282" i="1"/>
  <c r="U286" i="1"/>
  <c r="J5" i="2"/>
  <c r="J33" i="2"/>
  <c r="S3" i="1"/>
  <c r="D28" i="1"/>
  <c r="D27" i="1"/>
  <c r="D26" i="1"/>
  <c r="D23" i="1"/>
  <c r="D22" i="1"/>
  <c r="D21" i="1"/>
  <c r="D20" i="1"/>
  <c r="C29" i="1" l="1"/>
  <c r="V275" i="1" s="1"/>
  <c r="J34" i="2"/>
  <c r="K33" i="2"/>
  <c r="J6" i="2"/>
  <c r="K5" i="2"/>
  <c r="S4" i="1"/>
  <c r="S5" i="1"/>
  <c r="S32" i="1"/>
  <c r="S6" i="1"/>
  <c r="D34" i="1" l="1"/>
  <c r="D35" i="1" s="1"/>
  <c r="Y222" i="1"/>
  <c r="Y68" i="1"/>
  <c r="Y267" i="1"/>
  <c r="Y35" i="1"/>
  <c r="Y8" i="1"/>
  <c r="Y271" i="1"/>
  <c r="Y14" i="1"/>
  <c r="Y121" i="1"/>
  <c r="Y183" i="1"/>
  <c r="Y188" i="1"/>
  <c r="Y204" i="1"/>
  <c r="Y237" i="1"/>
  <c r="Y9" i="1"/>
  <c r="Y107" i="1"/>
  <c r="Y32" i="1"/>
  <c r="Z32" i="1" s="1"/>
  <c r="AA32" i="1" s="1"/>
  <c r="Y47" i="1"/>
  <c r="Y182" i="1"/>
  <c r="Y5" i="1"/>
  <c r="Z5" i="1" s="1"/>
  <c r="AA5" i="1" s="1"/>
  <c r="Y120" i="1"/>
  <c r="Y127" i="1"/>
  <c r="Y45" i="1"/>
  <c r="Y38" i="1"/>
  <c r="Y30" i="1"/>
  <c r="Y202" i="1"/>
  <c r="Y153" i="1"/>
  <c r="Y19" i="1"/>
  <c r="Y215" i="1"/>
  <c r="Y185" i="1"/>
  <c r="Y216" i="1"/>
  <c r="Y210" i="1"/>
  <c r="Y284" i="1"/>
  <c r="Y253" i="1"/>
  <c r="Y83" i="1"/>
  <c r="Y20" i="1"/>
  <c r="Y133" i="1"/>
  <c r="Y203" i="1"/>
  <c r="Y173" i="1"/>
  <c r="Y13" i="1"/>
  <c r="Y91" i="1"/>
  <c r="Y249" i="1"/>
  <c r="Y166" i="1"/>
  <c r="Y80" i="1"/>
  <c r="Y111" i="1"/>
  <c r="Y4" i="1"/>
  <c r="Z4" i="1" s="1"/>
  <c r="AA4" i="1" s="1"/>
  <c r="Y170" i="1"/>
  <c r="Y272" i="1"/>
  <c r="Y169" i="1"/>
  <c r="Y194" i="1"/>
  <c r="Y165" i="1"/>
  <c r="Y67" i="1"/>
  <c r="Y140" i="1"/>
  <c r="Y283" i="1"/>
  <c r="Y101" i="1"/>
  <c r="Y260" i="1"/>
  <c r="Y171" i="1"/>
  <c r="Y149" i="1"/>
  <c r="Y128" i="1"/>
  <c r="Y70" i="1"/>
  <c r="Y246" i="1"/>
  <c r="Y113" i="1"/>
  <c r="Y244" i="1"/>
  <c r="Y191" i="1"/>
  <c r="Y177" i="1"/>
  <c r="Y136" i="1"/>
  <c r="Y90" i="1"/>
  <c r="Y6" i="1"/>
  <c r="Z6" i="1" s="1"/>
  <c r="AA6" i="1" s="1"/>
  <c r="Y100" i="1"/>
  <c r="Y103" i="1"/>
  <c r="Y279" i="1"/>
  <c r="Y281" i="1"/>
  <c r="Y66" i="1"/>
  <c r="Y69" i="1"/>
  <c r="Y206" i="1"/>
  <c r="Y232" i="1"/>
  <c r="Y211" i="1"/>
  <c r="Y62" i="1"/>
  <c r="Y3" i="1"/>
  <c r="Z3" i="1" s="1"/>
  <c r="AA3" i="1" s="1"/>
  <c r="Y164" i="1"/>
  <c r="Y102" i="1"/>
  <c r="Y262" i="1"/>
  <c r="Y141" i="1"/>
  <c r="Y15" i="1"/>
  <c r="Y207" i="1"/>
  <c r="Y193" i="1"/>
  <c r="Y196" i="1"/>
  <c r="Y106" i="1"/>
  <c r="Y21" i="1"/>
  <c r="Y152" i="1"/>
  <c r="Y119" i="1"/>
  <c r="Y29" i="1"/>
  <c r="Y82" i="1"/>
  <c r="Y137" i="1"/>
  <c r="Y238" i="1"/>
  <c r="Y256" i="1"/>
  <c r="Y227" i="1"/>
  <c r="Y94" i="1"/>
  <c r="Y49" i="1"/>
  <c r="Y261" i="1"/>
  <c r="Y168" i="1"/>
  <c r="Y31" i="1"/>
  <c r="Z31" i="1" s="1"/>
  <c r="AA31" i="1" s="1"/>
  <c r="Y139" i="1"/>
  <c r="Y219" i="1"/>
  <c r="Y205" i="1"/>
  <c r="Y44" i="1"/>
  <c r="Y192" i="1"/>
  <c r="Y118" i="1"/>
  <c r="Y198" i="1"/>
  <c r="Y234" i="1"/>
  <c r="Y53" i="1"/>
  <c r="Y233" i="1"/>
  <c r="Y180" i="1"/>
  <c r="Y63" i="1"/>
  <c r="Y143" i="1"/>
  <c r="Y239" i="1"/>
  <c r="Y85" i="1"/>
  <c r="Y209" i="1"/>
  <c r="Y76" i="1"/>
  <c r="Y228" i="1"/>
  <c r="Y138" i="1"/>
  <c r="Y218" i="1"/>
  <c r="Y61" i="1"/>
  <c r="Y269" i="1"/>
  <c r="Y184" i="1"/>
  <c r="Y55" i="1"/>
  <c r="Y151" i="1"/>
  <c r="Y231" i="1"/>
  <c r="Y73" i="1"/>
  <c r="Y217" i="1"/>
  <c r="Y64" i="1"/>
  <c r="Y43" i="1"/>
  <c r="Y130" i="1"/>
  <c r="Y258" i="1"/>
  <c r="Y277" i="1"/>
  <c r="Y78" i="1"/>
  <c r="Y65" i="1"/>
  <c r="Y108" i="1"/>
  <c r="Y10" i="1"/>
  <c r="Y131" i="1"/>
  <c r="Y25" i="1"/>
  <c r="Y176" i="1"/>
  <c r="Y190" i="1"/>
  <c r="Y16" i="1"/>
  <c r="Y208" i="1"/>
  <c r="Y75" i="1"/>
  <c r="Y155" i="1"/>
  <c r="Y235" i="1"/>
  <c r="Y109" i="1"/>
  <c r="Y221" i="1"/>
  <c r="Y72" i="1"/>
  <c r="Y264" i="1"/>
  <c r="Y54" i="1"/>
  <c r="Y134" i="1"/>
  <c r="Y230" i="1"/>
  <c r="Y282" i="1"/>
  <c r="Y117" i="1"/>
  <c r="Y24" i="1"/>
  <c r="Y212" i="1"/>
  <c r="Y79" i="1"/>
  <c r="Y175" i="1"/>
  <c r="Y255" i="1"/>
  <c r="Y129" i="1"/>
  <c r="Y257" i="1"/>
  <c r="Y96" i="1"/>
  <c r="Y276" i="1"/>
  <c r="Y74" i="1"/>
  <c r="Y154" i="1"/>
  <c r="Y250" i="1"/>
  <c r="Y89" i="1"/>
  <c r="Y56" i="1"/>
  <c r="Y220" i="1"/>
  <c r="Y87" i="1"/>
  <c r="Y167" i="1"/>
  <c r="Y247" i="1"/>
  <c r="Y145" i="1"/>
  <c r="Y241" i="1"/>
  <c r="Y88" i="1"/>
  <c r="Y22" i="1"/>
  <c r="Y146" i="1"/>
  <c r="Y274" i="1"/>
  <c r="Y42" i="1"/>
  <c r="Y110" i="1"/>
  <c r="Y39" i="1"/>
  <c r="Y132" i="1"/>
  <c r="Y12" i="1"/>
  <c r="Y147" i="1"/>
  <c r="Y93" i="1"/>
  <c r="Y240" i="1"/>
  <c r="V181" i="1"/>
  <c r="V197" i="1"/>
  <c r="V213" i="1"/>
  <c r="V229" i="1"/>
  <c r="V245" i="1"/>
  <c r="V261" i="1"/>
  <c r="V277" i="1"/>
  <c r="V10" i="1"/>
  <c r="V62" i="1"/>
  <c r="V82" i="1"/>
  <c r="V110" i="1"/>
  <c r="V178" i="1"/>
  <c r="V214" i="1"/>
  <c r="V262" i="1"/>
  <c r="V25" i="1"/>
  <c r="V61" i="1"/>
  <c r="V85" i="1"/>
  <c r="V125" i="1"/>
  <c r="V161" i="1"/>
  <c r="V4" i="1"/>
  <c r="W4" i="1" s="1"/>
  <c r="X4" i="1" s="1"/>
  <c r="V12" i="1"/>
  <c r="V28" i="1"/>
  <c r="V56" i="1"/>
  <c r="V72" i="1"/>
  <c r="V88" i="1"/>
  <c r="V104" i="1"/>
  <c r="V120" i="1"/>
  <c r="V136" i="1"/>
  <c r="V152" i="1"/>
  <c r="V168" i="1"/>
  <c r="V184" i="1"/>
  <c r="V200" i="1"/>
  <c r="V216" i="1"/>
  <c r="V232" i="1"/>
  <c r="V248" i="1"/>
  <c r="V264" i="1"/>
  <c r="V280" i="1"/>
  <c r="V18" i="1"/>
  <c r="V90" i="1"/>
  <c r="V130" i="1"/>
  <c r="V150" i="1"/>
  <c r="V166" i="1"/>
  <c r="V186" i="1"/>
  <c r="V218" i="1"/>
  <c r="V242" i="1"/>
  <c r="V274" i="1"/>
  <c r="V73" i="1"/>
  <c r="V105" i="1"/>
  <c r="V129" i="1"/>
  <c r="V153" i="1"/>
  <c r="V7" i="1"/>
  <c r="V19" i="1"/>
  <c r="V35" i="1"/>
  <c r="V47" i="1"/>
  <c r="V63" i="1"/>
  <c r="V79" i="1"/>
  <c r="V95" i="1"/>
  <c r="V111" i="1"/>
  <c r="V127" i="1"/>
  <c r="V143" i="1"/>
  <c r="V159" i="1"/>
  <c r="V175" i="1"/>
  <c r="V191" i="1"/>
  <c r="V207" i="1"/>
  <c r="V223" i="1"/>
  <c r="V239" i="1"/>
  <c r="V255" i="1"/>
  <c r="V271" i="1"/>
  <c r="V287" i="1"/>
  <c r="V205" i="1"/>
  <c r="V17" i="1"/>
  <c r="V101" i="1"/>
  <c r="V173" i="1"/>
  <c r="V20" i="1"/>
  <c r="V48" i="1"/>
  <c r="V80" i="1"/>
  <c r="V112" i="1"/>
  <c r="V144" i="1"/>
  <c r="V176" i="1"/>
  <c r="V208" i="1"/>
  <c r="V240" i="1"/>
  <c r="V272" i="1"/>
  <c r="V26" i="1"/>
  <c r="V78" i="1"/>
  <c r="V138" i="1"/>
  <c r="V158" i="1"/>
  <c r="V206" i="1"/>
  <c r="V250" i="1"/>
  <c r="V33" i="1"/>
  <c r="V89" i="1"/>
  <c r="V145" i="1"/>
  <c r="V11" i="1"/>
  <c r="V185" i="1"/>
  <c r="V201" i="1"/>
  <c r="V217" i="1"/>
  <c r="V233" i="1"/>
  <c r="V249" i="1"/>
  <c r="V265" i="1"/>
  <c r="V281" i="1"/>
  <c r="V14" i="1"/>
  <c r="V50" i="1"/>
  <c r="V66" i="1"/>
  <c r="V94" i="1"/>
  <c r="V118" i="1"/>
  <c r="V190" i="1"/>
  <c r="V234" i="1"/>
  <c r="V266" i="1"/>
  <c r="V13" i="1"/>
  <c r="V29" i="1"/>
  <c r="V65" i="1"/>
  <c r="V93" i="1"/>
  <c r="V137" i="1"/>
  <c r="V169" i="1"/>
  <c r="V16" i="1"/>
  <c r="V32" i="1"/>
  <c r="W32" i="1" s="1"/>
  <c r="X32" i="1" s="1"/>
  <c r="V44" i="1"/>
  <c r="V60" i="1"/>
  <c r="V76" i="1"/>
  <c r="V92" i="1"/>
  <c r="V108" i="1"/>
  <c r="V124" i="1"/>
  <c r="V140" i="1"/>
  <c r="V156" i="1"/>
  <c r="V172" i="1"/>
  <c r="V188" i="1"/>
  <c r="V204" i="1"/>
  <c r="V220" i="1"/>
  <c r="V236" i="1"/>
  <c r="V252" i="1"/>
  <c r="V268" i="1"/>
  <c r="V284" i="1"/>
  <c r="V22" i="1"/>
  <c r="V46" i="1"/>
  <c r="V106" i="1"/>
  <c r="V134" i="1"/>
  <c r="V154" i="1"/>
  <c r="V170" i="1"/>
  <c r="V194" i="1"/>
  <c r="V222" i="1"/>
  <c r="V246" i="1"/>
  <c r="V278" i="1"/>
  <c r="V9" i="1"/>
  <c r="V45" i="1"/>
  <c r="V77" i="1"/>
  <c r="V113" i="1"/>
  <c r="V133" i="1"/>
  <c r="V165" i="1"/>
  <c r="V23" i="1"/>
  <c r="V41" i="1"/>
  <c r="V51" i="1"/>
  <c r="V67" i="1"/>
  <c r="V83" i="1"/>
  <c r="V99" i="1"/>
  <c r="V115" i="1"/>
  <c r="V131" i="1"/>
  <c r="V147" i="1"/>
  <c r="V163" i="1"/>
  <c r="V179" i="1"/>
  <c r="V195" i="1"/>
  <c r="V211" i="1"/>
  <c r="V227" i="1"/>
  <c r="V243" i="1"/>
  <c r="V259" i="1"/>
  <c r="V189" i="1"/>
  <c r="V221" i="1"/>
  <c r="V237" i="1"/>
  <c r="V253" i="1"/>
  <c r="V269" i="1"/>
  <c r="V285" i="1"/>
  <c r="V34" i="1"/>
  <c r="V54" i="1"/>
  <c r="V70" i="1"/>
  <c r="V98" i="1"/>
  <c r="V122" i="1"/>
  <c r="V198" i="1"/>
  <c r="V238" i="1"/>
  <c r="V270" i="1"/>
  <c r="V39" i="1"/>
  <c r="V69" i="1"/>
  <c r="V141" i="1"/>
  <c r="V8" i="1"/>
  <c r="V38" i="1"/>
  <c r="V64" i="1"/>
  <c r="V96" i="1"/>
  <c r="V128" i="1"/>
  <c r="V160" i="1"/>
  <c r="V192" i="1"/>
  <c r="V224" i="1"/>
  <c r="V256" i="1"/>
  <c r="V114" i="1"/>
  <c r="V174" i="1"/>
  <c r="V226" i="1"/>
  <c r="V282" i="1"/>
  <c r="V49" i="1"/>
  <c r="V117" i="1"/>
  <c r="V3" i="1"/>
  <c r="W3" i="1" s="1"/>
  <c r="X3" i="1" s="1"/>
  <c r="V27" i="1"/>
  <c r="V193" i="1"/>
  <c r="V257" i="1"/>
  <c r="V58" i="1"/>
  <c r="V202" i="1"/>
  <c r="V21" i="1"/>
  <c r="V157" i="1"/>
  <c r="V24" i="1"/>
  <c r="V84" i="1"/>
  <c r="V148" i="1"/>
  <c r="V212" i="1"/>
  <c r="V276" i="1"/>
  <c r="V86" i="1"/>
  <c r="V182" i="1"/>
  <c r="V286" i="1"/>
  <c r="V97" i="1"/>
  <c r="V43" i="1"/>
  <c r="V75" i="1"/>
  <c r="V107" i="1"/>
  <c r="V139" i="1"/>
  <c r="V171" i="1"/>
  <c r="V203" i="1"/>
  <c r="V235" i="1"/>
  <c r="V267" i="1"/>
  <c r="V209" i="1"/>
  <c r="V273" i="1"/>
  <c r="V74" i="1"/>
  <c r="V258" i="1"/>
  <c r="V53" i="1"/>
  <c r="V177" i="1"/>
  <c r="V42" i="1"/>
  <c r="V100" i="1"/>
  <c r="V164" i="1"/>
  <c r="V228" i="1"/>
  <c r="V126" i="1"/>
  <c r="V210" i="1"/>
  <c r="V121" i="1"/>
  <c r="V15" i="1"/>
  <c r="V55" i="1"/>
  <c r="V87" i="1"/>
  <c r="V119" i="1"/>
  <c r="V151" i="1"/>
  <c r="V183" i="1"/>
  <c r="V215" i="1"/>
  <c r="V247" i="1"/>
  <c r="V279" i="1"/>
  <c r="V225" i="1"/>
  <c r="V102" i="1"/>
  <c r="V5" i="1"/>
  <c r="W5" i="1" s="1"/>
  <c r="X5" i="1" s="1"/>
  <c r="V81" i="1"/>
  <c r="V52" i="1"/>
  <c r="V116" i="1"/>
  <c r="V180" i="1"/>
  <c r="V244" i="1"/>
  <c r="V6" i="1"/>
  <c r="W6" i="1" s="1"/>
  <c r="X6" i="1" s="1"/>
  <c r="V142" i="1"/>
  <c r="V230" i="1"/>
  <c r="V149" i="1"/>
  <c r="V31" i="1"/>
  <c r="W31" i="1" s="1"/>
  <c r="X31" i="1" s="1"/>
  <c r="V59" i="1"/>
  <c r="V91" i="1"/>
  <c r="V123" i="1"/>
  <c r="V155" i="1"/>
  <c r="V187" i="1"/>
  <c r="V219" i="1"/>
  <c r="V251" i="1"/>
  <c r="V283" i="1"/>
  <c r="V241" i="1"/>
  <c r="V40" i="1"/>
  <c r="V146" i="1"/>
  <c r="V109" i="1"/>
  <c r="V68" i="1"/>
  <c r="V132" i="1"/>
  <c r="V196" i="1"/>
  <c r="V260" i="1"/>
  <c r="V30" i="1"/>
  <c r="V162" i="1"/>
  <c r="V254" i="1"/>
  <c r="V57" i="1"/>
  <c r="V71" i="1"/>
  <c r="V103" i="1"/>
  <c r="V135" i="1"/>
  <c r="V167" i="1"/>
  <c r="V199" i="1"/>
  <c r="V231" i="1"/>
  <c r="V263" i="1"/>
  <c r="Y77" i="1"/>
  <c r="Y229" i="1"/>
  <c r="Y112" i="1"/>
  <c r="Y236" i="1"/>
  <c r="Y59" i="1"/>
  <c r="Y123" i="1"/>
  <c r="Y187" i="1"/>
  <c r="Y251" i="1"/>
  <c r="Y81" i="1"/>
  <c r="Y189" i="1"/>
  <c r="Y285" i="1"/>
  <c r="Y92" i="1"/>
  <c r="Y224" i="1"/>
  <c r="Y26" i="1"/>
  <c r="Y86" i="1"/>
  <c r="Y150" i="1"/>
  <c r="Y214" i="1"/>
  <c r="Y278" i="1"/>
  <c r="Y11" i="1"/>
  <c r="Y57" i="1"/>
  <c r="Y265" i="1"/>
  <c r="Y144" i="1"/>
  <c r="Y268" i="1"/>
  <c r="Y95" i="1"/>
  <c r="Y159" i="1"/>
  <c r="Y223" i="1"/>
  <c r="Y287" i="1"/>
  <c r="Y157" i="1"/>
  <c r="Y225" i="1"/>
  <c r="Y48" i="1"/>
  <c r="Y172" i="1"/>
  <c r="Y41" i="1"/>
  <c r="Y58" i="1"/>
  <c r="Y122" i="1"/>
  <c r="Y186" i="1"/>
  <c r="Y266" i="1"/>
  <c r="Y17" i="1"/>
  <c r="Y245" i="1"/>
  <c r="Y124" i="1"/>
  <c r="Y248" i="1"/>
  <c r="Y71" i="1"/>
  <c r="Y135" i="1"/>
  <c r="Y199" i="1"/>
  <c r="Y263" i="1"/>
  <c r="Y105" i="1"/>
  <c r="Y201" i="1"/>
  <c r="Y28" i="1"/>
  <c r="Y116" i="1"/>
  <c r="Y252" i="1"/>
  <c r="Y40" i="1"/>
  <c r="Y98" i="1"/>
  <c r="Y162" i="1"/>
  <c r="Y226" i="1"/>
  <c r="Y163" i="1"/>
  <c r="Y181" i="1"/>
  <c r="Y84" i="1"/>
  <c r="Y18" i="1"/>
  <c r="Y142" i="1"/>
  <c r="Y270" i="1"/>
  <c r="Y97" i="1"/>
  <c r="Y273" i="1"/>
  <c r="Y156" i="1"/>
  <c r="Y280" i="1"/>
  <c r="Y7" i="1"/>
  <c r="Y99" i="1"/>
  <c r="Y179" i="1"/>
  <c r="Y243" i="1"/>
  <c r="Y161" i="1"/>
  <c r="Y52" i="1"/>
  <c r="Y126" i="1"/>
  <c r="Y254" i="1"/>
  <c r="Y160" i="1"/>
  <c r="Y23" i="1"/>
  <c r="Y50" i="1"/>
  <c r="Y114" i="1"/>
  <c r="Y178" i="1"/>
  <c r="Y242" i="1"/>
  <c r="Y275" i="1"/>
  <c r="Y213" i="1"/>
  <c r="Y148" i="1"/>
  <c r="Y46" i="1"/>
  <c r="Y158" i="1"/>
  <c r="Y33" i="1"/>
  <c r="Y125" i="1"/>
  <c r="Y60" i="1"/>
  <c r="Y200" i="1"/>
  <c r="Y27" i="1"/>
  <c r="Y51" i="1"/>
  <c r="Y115" i="1"/>
  <c r="Y195" i="1"/>
  <c r="Y259" i="1"/>
  <c r="Y197" i="1"/>
  <c r="Y104" i="1"/>
  <c r="Y34" i="1"/>
  <c r="Y174" i="1"/>
  <c r="Y286" i="1"/>
  <c r="J35" i="2"/>
  <c r="K34" i="2"/>
  <c r="J7" i="2"/>
  <c r="K6" i="2"/>
  <c r="S33" i="1"/>
  <c r="S7" i="1"/>
  <c r="W33" i="1" l="1"/>
  <c r="X33" i="1" s="1"/>
  <c r="W7" i="1"/>
  <c r="X7" i="1" s="1"/>
  <c r="Z33" i="1"/>
  <c r="AA33" i="1" s="1"/>
  <c r="Z7" i="1"/>
  <c r="AA7" i="1" s="1"/>
  <c r="J8" i="2"/>
  <c r="K7" i="2"/>
  <c r="J36" i="2"/>
  <c r="K35" i="2"/>
  <c r="S34" i="1"/>
  <c r="S8" i="1"/>
  <c r="W8" i="1" s="1"/>
  <c r="X8" i="1" s="1"/>
  <c r="Z8" i="1" l="1"/>
  <c r="AA8" i="1" s="1"/>
  <c r="W34" i="1"/>
  <c r="X34" i="1" s="1"/>
  <c r="Z34" i="1"/>
  <c r="AA34" i="1" s="1"/>
  <c r="J37" i="2"/>
  <c r="K36" i="2"/>
  <c r="K8" i="2"/>
  <c r="J9" i="2"/>
  <c r="S35" i="1"/>
  <c r="S9" i="1"/>
  <c r="W35" i="1" l="1"/>
  <c r="X35" i="1" s="1"/>
  <c r="Z35" i="1"/>
  <c r="AA35" i="1" s="1"/>
  <c r="W9" i="1"/>
  <c r="X9" i="1" s="1"/>
  <c r="Z9" i="1"/>
  <c r="AA9" i="1" s="1"/>
  <c r="J10" i="2"/>
  <c r="K9" i="2"/>
  <c r="K37" i="2"/>
  <c r="J38" i="2"/>
  <c r="S38" i="1"/>
  <c r="S10" i="1"/>
  <c r="W10" i="1" l="1"/>
  <c r="X10" i="1" s="1"/>
  <c r="Z10" i="1"/>
  <c r="AA10" i="1" s="1"/>
  <c r="W38" i="1"/>
  <c r="X38" i="1" s="1"/>
  <c r="Z38" i="1"/>
  <c r="AA38" i="1" s="1"/>
  <c r="J39" i="2"/>
  <c r="K38" i="2"/>
  <c r="J11" i="2"/>
  <c r="K10" i="2"/>
  <c r="S39" i="1"/>
  <c r="S11" i="1"/>
  <c r="W11" i="1" l="1"/>
  <c r="X11" i="1" s="1"/>
  <c r="Z11" i="1"/>
  <c r="AA11" i="1" s="1"/>
  <c r="W39" i="1"/>
  <c r="X39" i="1" s="1"/>
  <c r="Z39" i="1"/>
  <c r="AA39" i="1" s="1"/>
  <c r="K39" i="2"/>
  <c r="J40" i="2"/>
  <c r="K11" i="2"/>
  <c r="J12" i="2"/>
  <c r="S40" i="1"/>
  <c r="S12" i="1"/>
  <c r="W12" i="1" l="1"/>
  <c r="X12" i="1" s="1"/>
  <c r="Z12" i="1"/>
  <c r="AA12" i="1" s="1"/>
  <c r="W40" i="1"/>
  <c r="X40" i="1" s="1"/>
  <c r="Z40" i="1"/>
  <c r="AA40" i="1" s="1"/>
  <c r="J13" i="2"/>
  <c r="K12" i="2"/>
  <c r="J41" i="2"/>
  <c r="K40" i="2"/>
  <c r="S41" i="1"/>
  <c r="S13" i="1"/>
  <c r="W41" i="1" l="1"/>
  <c r="X41" i="1" s="1"/>
  <c r="Z41" i="1"/>
  <c r="AA41" i="1" s="1"/>
  <c r="W13" i="1"/>
  <c r="X13" i="1" s="1"/>
  <c r="Z13" i="1"/>
  <c r="AA13" i="1" s="1"/>
  <c r="K41" i="2"/>
  <c r="J42" i="2"/>
  <c r="J14" i="2"/>
  <c r="K13" i="2"/>
  <c r="S42" i="1"/>
  <c r="S14" i="1"/>
  <c r="W14" i="1" l="1"/>
  <c r="X14" i="1" s="1"/>
  <c r="Z14" i="1"/>
  <c r="AA14" i="1" s="1"/>
  <c r="W42" i="1"/>
  <c r="X42" i="1" s="1"/>
  <c r="Z42" i="1"/>
  <c r="AA42" i="1" s="1"/>
  <c r="J43" i="2"/>
  <c r="K42" i="2"/>
  <c r="J15" i="2"/>
  <c r="K14" i="2"/>
  <c r="S15" i="1"/>
  <c r="W15" i="1" l="1"/>
  <c r="X15" i="1" s="1"/>
  <c r="Z15" i="1"/>
  <c r="AA15" i="1" s="1"/>
  <c r="K15" i="2"/>
  <c r="J16" i="2"/>
  <c r="K43" i="2"/>
  <c r="J44" i="2"/>
  <c r="S16" i="1"/>
  <c r="W16" i="1" l="1"/>
  <c r="X16" i="1" s="1"/>
  <c r="Z16" i="1"/>
  <c r="AA16" i="1" s="1"/>
  <c r="J17" i="2"/>
  <c r="K16" i="2"/>
  <c r="J45" i="2"/>
  <c r="K44" i="2"/>
  <c r="S17" i="1"/>
  <c r="W17" i="1" l="1"/>
  <c r="X17" i="1" s="1"/>
  <c r="Z17" i="1"/>
  <c r="AA17" i="1" s="1"/>
  <c r="J46" i="2"/>
  <c r="K45" i="2"/>
  <c r="K17" i="2"/>
  <c r="J18" i="2"/>
  <c r="S18" i="1"/>
  <c r="J19" i="2" l="1"/>
  <c r="K18" i="2"/>
  <c r="K46" i="2"/>
  <c r="J47" i="2"/>
  <c r="S19" i="1"/>
  <c r="J48" i="2" l="1"/>
  <c r="K47" i="2"/>
  <c r="J20" i="2"/>
  <c r="K19" i="2"/>
  <c r="S20" i="1"/>
  <c r="J21" i="2" l="1"/>
  <c r="K20" i="2"/>
  <c r="K48" i="2"/>
  <c r="J49" i="2"/>
  <c r="S43" i="1"/>
  <c r="S21" i="1"/>
  <c r="W43" i="1" l="1"/>
  <c r="X43" i="1" s="1"/>
  <c r="Z43" i="1"/>
  <c r="AA43" i="1" s="1"/>
  <c r="K21" i="2"/>
  <c r="J22" i="2"/>
  <c r="K49" i="2"/>
  <c r="J50" i="2"/>
  <c r="S44" i="1"/>
  <c r="S22" i="1"/>
  <c r="W22" i="1" l="1"/>
  <c r="X22" i="1" s="1"/>
  <c r="Z22" i="1"/>
  <c r="AA22" i="1" s="1"/>
  <c r="W44" i="1"/>
  <c r="X44" i="1" s="1"/>
  <c r="Z44" i="1"/>
  <c r="AA44" i="1" s="1"/>
  <c r="J23" i="2"/>
  <c r="K22" i="2"/>
  <c r="J51" i="2"/>
  <c r="K50" i="2"/>
  <c r="S45" i="1"/>
  <c r="S23" i="1"/>
  <c r="W23" i="1" l="1"/>
  <c r="X23" i="1" s="1"/>
  <c r="Z23" i="1"/>
  <c r="AA23" i="1" s="1"/>
  <c r="W45" i="1"/>
  <c r="X45" i="1" s="1"/>
  <c r="Z45" i="1"/>
  <c r="AA45" i="1" s="1"/>
  <c r="J52" i="2"/>
  <c r="K51" i="2"/>
  <c r="J24" i="2"/>
  <c r="K23" i="2"/>
  <c r="S46" i="1"/>
  <c r="S24" i="1"/>
  <c r="W24" i="1" l="1"/>
  <c r="X24" i="1" s="1"/>
  <c r="Z24" i="1"/>
  <c r="AA24" i="1" s="1"/>
  <c r="W46" i="1"/>
  <c r="X46" i="1" s="1"/>
  <c r="Z46" i="1"/>
  <c r="AA46" i="1" s="1"/>
  <c r="J53" i="2"/>
  <c r="K52" i="2"/>
  <c r="J25" i="2"/>
  <c r="K24" i="2"/>
  <c r="S47" i="1"/>
  <c r="S25" i="1"/>
  <c r="W25" i="1" l="1"/>
  <c r="X25" i="1" s="1"/>
  <c r="Z25" i="1"/>
  <c r="AA25" i="1" s="1"/>
  <c r="W47" i="1"/>
  <c r="X47" i="1" s="1"/>
  <c r="Z47" i="1"/>
  <c r="AA47" i="1" s="1"/>
  <c r="K25" i="2"/>
  <c r="J26" i="2"/>
  <c r="J54" i="2"/>
  <c r="K53" i="2"/>
  <c r="S48" i="1"/>
  <c r="S26" i="1"/>
  <c r="W26" i="1" l="1"/>
  <c r="X26" i="1" s="1"/>
  <c r="Z26" i="1"/>
  <c r="AA26" i="1" s="1"/>
  <c r="W48" i="1"/>
  <c r="X48" i="1" s="1"/>
  <c r="Z48" i="1"/>
  <c r="AA48" i="1" s="1"/>
  <c r="J27" i="2"/>
  <c r="K26" i="2"/>
  <c r="J55" i="2"/>
  <c r="K54" i="2"/>
  <c r="S49" i="1"/>
  <c r="S27" i="1"/>
  <c r="W27" i="1" l="1"/>
  <c r="X27" i="1" s="1"/>
  <c r="Z27" i="1"/>
  <c r="AA27" i="1" s="1"/>
  <c r="W49" i="1"/>
  <c r="X49" i="1" s="1"/>
  <c r="Z49" i="1"/>
  <c r="AA49" i="1" s="1"/>
  <c r="J56" i="2"/>
  <c r="K55" i="2"/>
  <c r="K27" i="2"/>
  <c r="J28" i="2"/>
  <c r="S50" i="1"/>
  <c r="S28" i="1"/>
  <c r="W28" i="1" l="1"/>
  <c r="X28" i="1" s="1"/>
  <c r="Z28" i="1"/>
  <c r="AA28" i="1" s="1"/>
  <c r="W50" i="1"/>
  <c r="X50" i="1" s="1"/>
  <c r="Z50" i="1"/>
  <c r="AA50" i="1" s="1"/>
  <c r="K56" i="2"/>
  <c r="J57" i="2"/>
  <c r="J29" i="2"/>
  <c r="K28" i="2"/>
  <c r="S51" i="1"/>
  <c r="S30" i="1"/>
  <c r="S29" i="1"/>
  <c r="W51" i="1" l="1"/>
  <c r="X51" i="1" s="1"/>
  <c r="Z51" i="1"/>
  <c r="AA51" i="1" s="1"/>
  <c r="W30" i="1"/>
  <c r="X30" i="1" s="1"/>
  <c r="Z30" i="1"/>
  <c r="AA30" i="1" s="1"/>
  <c r="W29" i="1"/>
  <c r="X29" i="1" s="1"/>
  <c r="Z29" i="1"/>
  <c r="AA29" i="1" s="1"/>
  <c r="K57" i="2"/>
  <c r="J58" i="2"/>
  <c r="K29" i="2"/>
  <c r="J30" i="2"/>
  <c r="S52" i="1"/>
  <c r="W52" i="1" l="1"/>
  <c r="X52" i="1" s="1"/>
  <c r="Z52" i="1"/>
  <c r="AA52" i="1" s="1"/>
  <c r="K30" i="2"/>
  <c r="J31" i="2"/>
  <c r="K31" i="2" s="1"/>
  <c r="J59" i="2"/>
  <c r="K58" i="2"/>
  <c r="S53" i="1"/>
  <c r="W53" i="1" l="1"/>
  <c r="X53" i="1" s="1"/>
  <c r="Z53" i="1"/>
  <c r="AA53" i="1" s="1"/>
  <c r="J60" i="2"/>
  <c r="K59" i="2"/>
  <c r="S54" i="1"/>
  <c r="W54" i="1" l="1"/>
  <c r="X54" i="1" s="1"/>
  <c r="Z54" i="1"/>
  <c r="AA54" i="1" s="1"/>
  <c r="J61" i="2"/>
  <c r="K60" i="2"/>
  <c r="S55" i="1"/>
  <c r="W55" i="1" l="1"/>
  <c r="X55" i="1" s="1"/>
  <c r="Z55" i="1"/>
  <c r="AA55" i="1" s="1"/>
  <c r="K61" i="2"/>
  <c r="J62" i="2"/>
  <c r="S56" i="1"/>
  <c r="W56" i="1" l="1"/>
  <c r="X56" i="1" s="1"/>
  <c r="Z56" i="1"/>
  <c r="AA56" i="1" s="1"/>
  <c r="J63" i="2"/>
  <c r="K62" i="2"/>
  <c r="S57" i="1"/>
  <c r="W57" i="1" l="1"/>
  <c r="X57" i="1" s="1"/>
  <c r="Z57" i="1"/>
  <c r="AA57" i="1" s="1"/>
  <c r="K63" i="2"/>
  <c r="J64" i="2"/>
  <c r="S58" i="1"/>
  <c r="W58" i="1" l="1"/>
  <c r="X58" i="1" s="1"/>
  <c r="Z58" i="1"/>
  <c r="AA58" i="1" s="1"/>
  <c r="K64" i="2"/>
  <c r="J65" i="2"/>
  <c r="S59" i="1"/>
  <c r="W59" i="1" l="1"/>
  <c r="X59" i="1" s="1"/>
  <c r="Z59" i="1"/>
  <c r="AA59" i="1" s="1"/>
  <c r="K65" i="2"/>
  <c r="J66" i="2"/>
  <c r="S60" i="1"/>
  <c r="W60" i="1" l="1"/>
  <c r="X60" i="1" s="1"/>
  <c r="Z60" i="1"/>
  <c r="AA60" i="1" s="1"/>
  <c r="K66" i="2"/>
  <c r="J67" i="2"/>
  <c r="S61" i="1"/>
  <c r="W61" i="1" l="1"/>
  <c r="X61" i="1" s="1"/>
  <c r="Z61" i="1"/>
  <c r="AA61" i="1" s="1"/>
  <c r="K67" i="2"/>
  <c r="J68" i="2"/>
  <c r="S62" i="1"/>
  <c r="W62" i="1" l="1"/>
  <c r="X62" i="1" s="1"/>
  <c r="Z62" i="1"/>
  <c r="AA62" i="1" s="1"/>
  <c r="K68" i="2"/>
  <c r="J69" i="2"/>
  <c r="S63" i="1"/>
  <c r="W63" i="1" l="1"/>
  <c r="X63" i="1" s="1"/>
  <c r="Z63" i="1"/>
  <c r="AA63" i="1" s="1"/>
  <c r="K69" i="2"/>
  <c r="J70" i="2"/>
  <c r="S64" i="1"/>
  <c r="W64" i="1" l="1"/>
  <c r="X64" i="1" s="1"/>
  <c r="Z64" i="1"/>
  <c r="AA64" i="1" s="1"/>
  <c r="K70" i="2"/>
  <c r="J71" i="2"/>
  <c r="S65" i="1"/>
  <c r="W65" i="1" l="1"/>
  <c r="X65" i="1" s="1"/>
  <c r="Z65" i="1"/>
  <c r="AA65" i="1" s="1"/>
  <c r="K71" i="2"/>
  <c r="J72" i="2"/>
  <c r="S66" i="1"/>
  <c r="W66" i="1" l="1"/>
  <c r="X66" i="1" s="1"/>
  <c r="Z66" i="1"/>
  <c r="AA66" i="1" s="1"/>
  <c r="J73" i="2"/>
  <c r="K72" i="2"/>
  <c r="S67" i="1"/>
  <c r="W67" i="1" l="1"/>
  <c r="X67" i="1" s="1"/>
  <c r="Z67" i="1"/>
  <c r="AA67" i="1" s="1"/>
  <c r="K73" i="2"/>
  <c r="J74" i="2"/>
  <c r="S68" i="1"/>
  <c r="W68" i="1" l="1"/>
  <c r="X68" i="1" s="1"/>
  <c r="Z68" i="1"/>
  <c r="AA68" i="1" s="1"/>
  <c r="K74" i="2"/>
  <c r="J75" i="2"/>
  <c r="S69" i="1"/>
  <c r="W69" i="1" l="1"/>
  <c r="X69" i="1" s="1"/>
  <c r="Z69" i="1"/>
  <c r="AA69" i="1" s="1"/>
  <c r="K75" i="2"/>
  <c r="J76" i="2"/>
  <c r="S70" i="1"/>
  <c r="W70" i="1" l="1"/>
  <c r="X70" i="1" s="1"/>
  <c r="Z70" i="1"/>
  <c r="AA70" i="1" s="1"/>
  <c r="K76" i="2"/>
  <c r="J77" i="2"/>
  <c r="S71" i="1"/>
  <c r="W71" i="1" l="1"/>
  <c r="X71" i="1" s="1"/>
  <c r="Z71" i="1"/>
  <c r="AA71" i="1" s="1"/>
  <c r="K77" i="2"/>
  <c r="J78" i="2"/>
  <c r="S72" i="1"/>
  <c r="W72" i="1" l="1"/>
  <c r="X72" i="1" s="1"/>
  <c r="Z72" i="1"/>
  <c r="AA72" i="1" s="1"/>
  <c r="J79" i="2"/>
  <c r="K78" i="2"/>
  <c r="S73" i="1"/>
  <c r="W73" i="1" l="1"/>
  <c r="X73" i="1" s="1"/>
  <c r="Z73" i="1"/>
  <c r="AA73" i="1" s="1"/>
  <c r="K79" i="2"/>
  <c r="J80" i="2"/>
  <c r="S74" i="1"/>
  <c r="W74" i="1" l="1"/>
  <c r="X74" i="1" s="1"/>
  <c r="Z74" i="1"/>
  <c r="AA74" i="1" s="1"/>
  <c r="J81" i="2"/>
  <c r="K80" i="2"/>
  <c r="S75" i="1"/>
  <c r="W75" i="1" l="1"/>
  <c r="X75" i="1" s="1"/>
  <c r="Z75" i="1"/>
  <c r="AA75" i="1" s="1"/>
  <c r="K81" i="2"/>
  <c r="J82" i="2"/>
  <c r="S76" i="1"/>
  <c r="W76" i="1" l="1"/>
  <c r="X76" i="1" s="1"/>
  <c r="Z76" i="1"/>
  <c r="AA76" i="1" s="1"/>
  <c r="K82" i="2"/>
  <c r="J83" i="2"/>
  <c r="S77" i="1"/>
  <c r="W77" i="1" l="1"/>
  <c r="X77" i="1" s="1"/>
  <c r="Z77" i="1"/>
  <c r="AA77" i="1" s="1"/>
  <c r="K83" i="2"/>
  <c r="J84" i="2"/>
  <c r="S78" i="1"/>
  <c r="W78" i="1" l="1"/>
  <c r="X78" i="1" s="1"/>
  <c r="Z78" i="1"/>
  <c r="AA78" i="1" s="1"/>
  <c r="J85" i="2"/>
  <c r="K84" i="2"/>
  <c r="S79" i="1"/>
  <c r="W79" i="1" l="1"/>
  <c r="X79" i="1" s="1"/>
  <c r="Z79" i="1"/>
  <c r="AA79" i="1" s="1"/>
  <c r="J86" i="2"/>
  <c r="K85" i="2"/>
  <c r="S80" i="1"/>
  <c r="W80" i="1" l="1"/>
  <c r="X80" i="1" s="1"/>
  <c r="Z80" i="1"/>
  <c r="AA80" i="1" s="1"/>
  <c r="J87" i="2"/>
  <c r="K86" i="2"/>
  <c r="S81" i="1"/>
  <c r="W81" i="1" l="1"/>
  <c r="X81" i="1" s="1"/>
  <c r="Z81" i="1"/>
  <c r="AA81" i="1" s="1"/>
  <c r="K87" i="2"/>
  <c r="J88" i="2"/>
  <c r="S82" i="1"/>
  <c r="W82" i="1" l="1"/>
  <c r="X82" i="1" s="1"/>
  <c r="Z82" i="1"/>
  <c r="AA82" i="1" s="1"/>
  <c r="K88" i="2"/>
  <c r="J89" i="2"/>
  <c r="S83" i="1"/>
  <c r="W83" i="1" l="1"/>
  <c r="X83" i="1" s="1"/>
  <c r="Z83" i="1"/>
  <c r="AA83" i="1" s="1"/>
  <c r="K89" i="2"/>
  <c r="J90" i="2"/>
  <c r="S84" i="1"/>
  <c r="W84" i="1" l="1"/>
  <c r="X84" i="1" s="1"/>
  <c r="Z84" i="1"/>
  <c r="AA84" i="1" s="1"/>
  <c r="K90" i="2"/>
  <c r="J91" i="2"/>
  <c r="S85" i="1"/>
  <c r="W85" i="1" l="1"/>
  <c r="X85" i="1" s="1"/>
  <c r="Z85" i="1"/>
  <c r="AA85" i="1" s="1"/>
  <c r="K91" i="2"/>
  <c r="J92" i="2"/>
  <c r="S86" i="1"/>
  <c r="W86" i="1" l="1"/>
  <c r="X86" i="1" s="1"/>
  <c r="Z86" i="1"/>
  <c r="AA86" i="1" s="1"/>
  <c r="K92" i="2"/>
  <c r="J93" i="2"/>
  <c r="S87" i="1"/>
  <c r="W87" i="1" l="1"/>
  <c r="X87" i="1" s="1"/>
  <c r="Z87" i="1"/>
  <c r="AA87" i="1" s="1"/>
  <c r="K93" i="2"/>
  <c r="J94" i="2"/>
  <c r="S88" i="1"/>
  <c r="W88" i="1" l="1"/>
  <c r="X88" i="1" s="1"/>
  <c r="Z88" i="1"/>
  <c r="AA88" i="1" s="1"/>
  <c r="K94" i="2"/>
  <c r="J95" i="2"/>
  <c r="S89" i="1"/>
  <c r="W89" i="1" l="1"/>
  <c r="X89" i="1" s="1"/>
  <c r="Z89" i="1"/>
  <c r="AA89" i="1" s="1"/>
  <c r="K95" i="2"/>
  <c r="J96" i="2"/>
  <c r="S90" i="1"/>
  <c r="W90" i="1" l="1"/>
  <c r="X90" i="1" s="1"/>
  <c r="Z90" i="1"/>
  <c r="AA90" i="1" s="1"/>
  <c r="J97" i="2"/>
  <c r="K96" i="2"/>
  <c r="S91" i="1"/>
  <c r="W91" i="1" l="1"/>
  <c r="X91" i="1" s="1"/>
  <c r="Z91" i="1"/>
  <c r="AA91" i="1" s="1"/>
  <c r="K97" i="2"/>
  <c r="J98" i="2"/>
  <c r="S92" i="1"/>
  <c r="W92" i="1" l="1"/>
  <c r="X92" i="1" s="1"/>
  <c r="Z92" i="1"/>
  <c r="AA92" i="1" s="1"/>
  <c r="K98" i="2"/>
  <c r="J99" i="2"/>
  <c r="S93" i="1"/>
  <c r="W93" i="1" l="1"/>
  <c r="X93" i="1" s="1"/>
  <c r="Z93" i="1"/>
  <c r="AA93" i="1" s="1"/>
  <c r="K99" i="2"/>
  <c r="J100" i="2"/>
  <c r="S94" i="1"/>
  <c r="W94" i="1" l="1"/>
  <c r="X94" i="1" s="1"/>
  <c r="Z94" i="1"/>
  <c r="AA94" i="1" s="1"/>
  <c r="K100" i="2"/>
  <c r="J101" i="2"/>
  <c r="S95" i="1"/>
  <c r="W95" i="1" l="1"/>
  <c r="X95" i="1" s="1"/>
  <c r="Z95" i="1"/>
  <c r="AA95" i="1" s="1"/>
  <c r="K101" i="2"/>
  <c r="J102" i="2"/>
  <c r="S96" i="1"/>
  <c r="W96" i="1" l="1"/>
  <c r="X96" i="1" s="1"/>
  <c r="Z96" i="1"/>
  <c r="AA96" i="1" s="1"/>
  <c r="K102" i="2"/>
  <c r="J103" i="2"/>
  <c r="S97" i="1"/>
  <c r="W97" i="1" l="1"/>
  <c r="X97" i="1" s="1"/>
  <c r="Z97" i="1"/>
  <c r="AA97" i="1" s="1"/>
  <c r="K103" i="2"/>
  <c r="J104" i="2"/>
  <c r="S98" i="1"/>
  <c r="W98" i="1" l="1"/>
  <c r="X98" i="1" s="1"/>
  <c r="Z98" i="1"/>
  <c r="AA98" i="1" s="1"/>
  <c r="J105" i="2"/>
  <c r="K104" i="2"/>
  <c r="S99" i="1"/>
  <c r="W99" i="1" l="1"/>
  <c r="X99" i="1" s="1"/>
  <c r="Z99" i="1"/>
  <c r="AA99" i="1" s="1"/>
  <c r="K105" i="2"/>
  <c r="J106" i="2"/>
  <c r="S100" i="1"/>
  <c r="W100" i="1" l="1"/>
  <c r="X100" i="1" s="1"/>
  <c r="Z100" i="1"/>
  <c r="AA100" i="1" s="1"/>
  <c r="K106" i="2"/>
  <c r="J107" i="2"/>
  <c r="S101" i="1"/>
  <c r="W101" i="1" l="1"/>
  <c r="X101" i="1" s="1"/>
  <c r="Z101" i="1"/>
  <c r="AA101" i="1" s="1"/>
  <c r="J108" i="2"/>
  <c r="K107" i="2"/>
  <c r="S102" i="1"/>
  <c r="W102" i="1" l="1"/>
  <c r="X102" i="1" s="1"/>
  <c r="Z102" i="1"/>
  <c r="AA102" i="1" s="1"/>
  <c r="K108" i="2"/>
  <c r="J109" i="2"/>
  <c r="S103" i="1"/>
  <c r="W103" i="1" l="1"/>
  <c r="X103" i="1" s="1"/>
  <c r="Z103" i="1"/>
  <c r="AA103" i="1" s="1"/>
  <c r="K109" i="2"/>
  <c r="J110" i="2"/>
  <c r="S104" i="1"/>
  <c r="W104" i="1" l="1"/>
  <c r="X104" i="1" s="1"/>
  <c r="Z104" i="1"/>
  <c r="AA104" i="1" s="1"/>
  <c r="J111" i="2"/>
  <c r="K110" i="2"/>
  <c r="S105" i="1"/>
  <c r="W105" i="1" l="1"/>
  <c r="X105" i="1" s="1"/>
  <c r="Z105" i="1"/>
  <c r="AA105" i="1" s="1"/>
  <c r="K111" i="2"/>
  <c r="J112" i="2"/>
  <c r="S106" i="1"/>
  <c r="W106" i="1" l="1"/>
  <c r="X106" i="1" s="1"/>
  <c r="Z106" i="1"/>
  <c r="AA106" i="1" s="1"/>
  <c r="K112" i="2"/>
  <c r="J113" i="2"/>
  <c r="S107" i="1"/>
  <c r="W107" i="1" l="1"/>
  <c r="X107" i="1" s="1"/>
  <c r="Z107" i="1"/>
  <c r="AA107" i="1" s="1"/>
  <c r="K113" i="2"/>
  <c r="J114" i="2"/>
  <c r="S108" i="1"/>
  <c r="W108" i="1" l="1"/>
  <c r="X108" i="1" s="1"/>
  <c r="Z108" i="1"/>
  <c r="AA108" i="1" s="1"/>
  <c r="K114" i="2"/>
  <c r="J115" i="2"/>
  <c r="S109" i="1"/>
  <c r="W109" i="1" l="1"/>
  <c r="X109" i="1" s="1"/>
  <c r="Z109" i="1"/>
  <c r="AA109" i="1" s="1"/>
  <c r="K115" i="2"/>
  <c r="J116" i="2"/>
  <c r="S110" i="1"/>
  <c r="W110" i="1" l="1"/>
  <c r="X110" i="1" s="1"/>
  <c r="Z110" i="1"/>
  <c r="AA110" i="1" s="1"/>
  <c r="K116" i="2"/>
  <c r="J117" i="2"/>
  <c r="S111" i="1"/>
  <c r="W111" i="1" l="1"/>
  <c r="X111" i="1" s="1"/>
  <c r="Z111" i="1"/>
  <c r="AA111" i="1" s="1"/>
  <c r="K117" i="2"/>
  <c r="J118" i="2"/>
  <c r="S112" i="1"/>
  <c r="W112" i="1" l="1"/>
  <c r="X112" i="1" s="1"/>
  <c r="Z112" i="1"/>
  <c r="AA112" i="1" s="1"/>
  <c r="K118" i="2"/>
  <c r="J119" i="2"/>
  <c r="S113" i="1"/>
  <c r="W113" i="1" l="1"/>
  <c r="X113" i="1" s="1"/>
  <c r="Z113" i="1"/>
  <c r="AA113" i="1" s="1"/>
  <c r="K119" i="2"/>
  <c r="J120" i="2"/>
  <c r="S114" i="1"/>
  <c r="W114" i="1" l="1"/>
  <c r="X114" i="1" s="1"/>
  <c r="Z114" i="1"/>
  <c r="AA114" i="1" s="1"/>
  <c r="K120" i="2"/>
  <c r="J121" i="2"/>
  <c r="S115" i="1"/>
  <c r="W115" i="1" l="1"/>
  <c r="X115" i="1" s="1"/>
  <c r="Z115" i="1"/>
  <c r="AA115" i="1" s="1"/>
  <c r="K121" i="2"/>
  <c r="J122" i="2"/>
  <c r="S116" i="1"/>
  <c r="W116" i="1" l="1"/>
  <c r="X116" i="1" s="1"/>
  <c r="Z116" i="1"/>
  <c r="AA116" i="1" s="1"/>
  <c r="J123" i="2"/>
  <c r="K122" i="2"/>
  <c r="S117" i="1"/>
  <c r="W117" i="1" l="1"/>
  <c r="X117" i="1" s="1"/>
  <c r="Z117" i="1"/>
  <c r="AA117" i="1" s="1"/>
  <c r="K123" i="2"/>
  <c r="J124" i="2"/>
  <c r="S118" i="1"/>
  <c r="W118" i="1" l="1"/>
  <c r="X118" i="1" s="1"/>
  <c r="Z118" i="1"/>
  <c r="AA118" i="1" s="1"/>
  <c r="K124" i="2"/>
  <c r="J125" i="2"/>
  <c r="S119" i="1"/>
  <c r="W119" i="1" l="1"/>
  <c r="X119" i="1" s="1"/>
  <c r="Z119" i="1"/>
  <c r="AA119" i="1" s="1"/>
  <c r="K125" i="2"/>
  <c r="J126" i="2"/>
  <c r="S120" i="1"/>
  <c r="W120" i="1" l="1"/>
  <c r="X120" i="1" s="1"/>
  <c r="Z120" i="1"/>
  <c r="AA120" i="1" s="1"/>
  <c r="K126" i="2"/>
  <c r="J127" i="2"/>
  <c r="S121" i="1"/>
  <c r="W121" i="1" l="1"/>
  <c r="X121" i="1" s="1"/>
  <c r="Z121" i="1"/>
  <c r="AA121" i="1" s="1"/>
  <c r="K127" i="2"/>
  <c r="J128" i="2"/>
  <c r="S122" i="1"/>
  <c r="W122" i="1" l="1"/>
  <c r="X122" i="1" s="1"/>
  <c r="Z122" i="1"/>
  <c r="AA122" i="1" s="1"/>
  <c r="J129" i="2"/>
  <c r="K128" i="2"/>
  <c r="S123" i="1"/>
  <c r="W123" i="1" l="1"/>
  <c r="X123" i="1" s="1"/>
  <c r="Z123" i="1"/>
  <c r="AA123" i="1" s="1"/>
  <c r="K129" i="2"/>
  <c r="J130" i="2"/>
  <c r="S124" i="1"/>
  <c r="W124" i="1" l="1"/>
  <c r="X124" i="1" s="1"/>
  <c r="Z124" i="1"/>
  <c r="AA124" i="1" s="1"/>
  <c r="K130" i="2"/>
  <c r="J131" i="2"/>
  <c r="S125" i="1"/>
  <c r="W125" i="1" l="1"/>
  <c r="X125" i="1" s="1"/>
  <c r="Z125" i="1"/>
  <c r="AA125" i="1" s="1"/>
  <c r="K131" i="2"/>
  <c r="J132" i="2"/>
  <c r="S126" i="1"/>
  <c r="W126" i="1" l="1"/>
  <c r="X126" i="1" s="1"/>
  <c r="Z126" i="1"/>
  <c r="AA126" i="1" s="1"/>
  <c r="K132" i="2"/>
  <c r="J133" i="2"/>
  <c r="S127" i="1"/>
  <c r="W127" i="1" l="1"/>
  <c r="X127" i="1" s="1"/>
  <c r="Z127" i="1"/>
  <c r="AA127" i="1" s="1"/>
  <c r="K133" i="2"/>
  <c r="J134" i="2"/>
  <c r="S128" i="1"/>
  <c r="W128" i="1" l="1"/>
  <c r="X128" i="1" s="1"/>
  <c r="Z128" i="1"/>
  <c r="AA128" i="1" s="1"/>
  <c r="K134" i="2"/>
  <c r="J135" i="2"/>
  <c r="S129" i="1"/>
  <c r="W129" i="1" l="1"/>
  <c r="X129" i="1" s="1"/>
  <c r="Z129" i="1"/>
  <c r="AA129" i="1" s="1"/>
  <c r="J136" i="2"/>
  <c r="K135" i="2"/>
  <c r="S130" i="1"/>
  <c r="W130" i="1" l="1"/>
  <c r="X130" i="1" s="1"/>
  <c r="Z130" i="1"/>
  <c r="AA130" i="1" s="1"/>
  <c r="K136" i="2"/>
  <c r="J137" i="2"/>
  <c r="S131" i="1"/>
  <c r="W131" i="1" l="1"/>
  <c r="X131" i="1" s="1"/>
  <c r="Z131" i="1"/>
  <c r="AA131" i="1" s="1"/>
  <c r="J138" i="2"/>
  <c r="K137" i="2"/>
  <c r="S132" i="1"/>
  <c r="W132" i="1" l="1"/>
  <c r="X132" i="1" s="1"/>
  <c r="Z132" i="1"/>
  <c r="AA132" i="1" s="1"/>
  <c r="J139" i="2"/>
  <c r="K138" i="2"/>
  <c r="S133" i="1"/>
  <c r="W133" i="1" l="1"/>
  <c r="X133" i="1" s="1"/>
  <c r="Z133" i="1"/>
  <c r="AA133" i="1" s="1"/>
  <c r="K139" i="2"/>
  <c r="J140" i="2"/>
  <c r="S134" i="1"/>
  <c r="W134" i="1" l="1"/>
  <c r="X134" i="1" s="1"/>
  <c r="Z134" i="1"/>
  <c r="AA134" i="1" s="1"/>
  <c r="K140" i="2"/>
  <c r="J141" i="2"/>
  <c r="S135" i="1"/>
  <c r="W135" i="1" l="1"/>
  <c r="X135" i="1" s="1"/>
  <c r="Z135" i="1"/>
  <c r="AA135" i="1" s="1"/>
  <c r="K141" i="2"/>
  <c r="J142" i="2"/>
  <c r="S136" i="1"/>
  <c r="W136" i="1" l="1"/>
  <c r="X136" i="1" s="1"/>
  <c r="Z136" i="1"/>
  <c r="AA136" i="1" s="1"/>
  <c r="K142" i="2"/>
  <c r="J143" i="2"/>
  <c r="S137" i="1"/>
  <c r="W137" i="1" l="1"/>
  <c r="X137" i="1" s="1"/>
  <c r="Z137" i="1"/>
  <c r="AA137" i="1" s="1"/>
  <c r="K143" i="2"/>
  <c r="J144" i="2"/>
  <c r="S138" i="1"/>
  <c r="W138" i="1" l="1"/>
  <c r="X138" i="1" s="1"/>
  <c r="Z138" i="1"/>
  <c r="AA138" i="1" s="1"/>
  <c r="J145" i="2"/>
  <c r="K144" i="2"/>
  <c r="S139" i="1"/>
  <c r="W139" i="1" l="1"/>
  <c r="X139" i="1" s="1"/>
  <c r="Z139" i="1"/>
  <c r="AA139" i="1" s="1"/>
  <c r="K145" i="2"/>
  <c r="J146" i="2"/>
  <c r="S140" i="1"/>
  <c r="W140" i="1" l="1"/>
  <c r="X140" i="1" s="1"/>
  <c r="Z140" i="1"/>
  <c r="AA140" i="1" s="1"/>
  <c r="K146" i="2"/>
  <c r="J147" i="2"/>
  <c r="S141" i="1"/>
  <c r="W141" i="1" l="1"/>
  <c r="X141" i="1" s="1"/>
  <c r="Z141" i="1"/>
  <c r="AA141" i="1" s="1"/>
  <c r="K147" i="2"/>
  <c r="J148" i="2"/>
  <c r="S142" i="1"/>
  <c r="W142" i="1" l="1"/>
  <c r="X142" i="1" s="1"/>
  <c r="Z142" i="1"/>
  <c r="AA142" i="1" s="1"/>
  <c r="K148" i="2"/>
  <c r="J149" i="2"/>
  <c r="S143" i="1"/>
  <c r="W143" i="1" l="1"/>
  <c r="X143" i="1" s="1"/>
  <c r="Z143" i="1"/>
  <c r="AA143" i="1" s="1"/>
  <c r="K149" i="2"/>
  <c r="J150" i="2"/>
  <c r="S144" i="1"/>
  <c r="W144" i="1" l="1"/>
  <c r="X144" i="1" s="1"/>
  <c r="Z144" i="1"/>
  <c r="AA144" i="1" s="1"/>
  <c r="K150" i="2"/>
  <c r="J151" i="2"/>
  <c r="S145" i="1"/>
  <c r="W145" i="1" l="1"/>
  <c r="X145" i="1" s="1"/>
  <c r="Z145" i="1"/>
  <c r="AA145" i="1" s="1"/>
  <c r="K151" i="2"/>
  <c r="J152" i="2"/>
  <c r="S146" i="1"/>
  <c r="W146" i="1" l="1"/>
  <c r="X146" i="1" s="1"/>
  <c r="Z146" i="1"/>
  <c r="AA146" i="1" s="1"/>
  <c r="J153" i="2"/>
  <c r="K152" i="2"/>
  <c r="S147" i="1"/>
  <c r="W147" i="1" l="1"/>
  <c r="X147" i="1" s="1"/>
  <c r="Z147" i="1"/>
  <c r="AA147" i="1" s="1"/>
  <c r="K153" i="2"/>
  <c r="J154" i="2"/>
  <c r="S148" i="1"/>
  <c r="W148" i="1" l="1"/>
  <c r="X148" i="1" s="1"/>
  <c r="Z148" i="1"/>
  <c r="AA148" i="1" s="1"/>
  <c r="K154" i="2"/>
  <c r="J155" i="2"/>
  <c r="S149" i="1"/>
  <c r="W149" i="1" l="1"/>
  <c r="X149" i="1" s="1"/>
  <c r="Z149" i="1"/>
  <c r="AA149" i="1" s="1"/>
  <c r="K155" i="2"/>
  <c r="J156" i="2"/>
  <c r="S150" i="1"/>
  <c r="W150" i="1" l="1"/>
  <c r="X150" i="1" s="1"/>
  <c r="Z150" i="1"/>
  <c r="AA150" i="1" s="1"/>
  <c r="K156" i="2"/>
  <c r="J157" i="2"/>
  <c r="S151" i="1"/>
  <c r="W151" i="1" l="1"/>
  <c r="X151" i="1" s="1"/>
  <c r="Z151" i="1"/>
  <c r="AA151" i="1" s="1"/>
  <c r="K157" i="2"/>
  <c r="J158" i="2"/>
  <c r="S152" i="1"/>
  <c r="W152" i="1" l="1"/>
  <c r="X152" i="1" s="1"/>
  <c r="Z152" i="1"/>
  <c r="AA152" i="1" s="1"/>
  <c r="K158" i="2"/>
  <c r="J159" i="2"/>
  <c r="S153" i="1"/>
  <c r="W153" i="1" l="1"/>
  <c r="X153" i="1" s="1"/>
  <c r="Z153" i="1"/>
  <c r="AA153" i="1" s="1"/>
  <c r="K159" i="2"/>
  <c r="J160" i="2"/>
  <c r="S154" i="1"/>
  <c r="W154" i="1" l="1"/>
  <c r="X154" i="1" s="1"/>
  <c r="Z154" i="1"/>
  <c r="AA154" i="1" s="1"/>
  <c r="J161" i="2"/>
  <c r="K160" i="2"/>
  <c r="S155" i="1"/>
  <c r="W155" i="1" l="1"/>
  <c r="X155" i="1" s="1"/>
  <c r="Z155" i="1"/>
  <c r="AA155" i="1" s="1"/>
  <c r="K161" i="2"/>
  <c r="J162" i="2"/>
  <c r="S156" i="1"/>
  <c r="W156" i="1" l="1"/>
  <c r="X156" i="1" s="1"/>
  <c r="Z156" i="1"/>
  <c r="AA156" i="1" s="1"/>
  <c r="K162" i="2"/>
  <c r="J163" i="2"/>
  <c r="S157" i="1"/>
  <c r="W157" i="1" l="1"/>
  <c r="X157" i="1" s="1"/>
  <c r="Z157" i="1"/>
  <c r="AA157" i="1" s="1"/>
  <c r="K163" i="2"/>
  <c r="J164" i="2"/>
  <c r="S158" i="1"/>
  <c r="W158" i="1" l="1"/>
  <c r="X158" i="1" s="1"/>
  <c r="Z158" i="1"/>
  <c r="AA158" i="1" s="1"/>
  <c r="K164" i="2"/>
  <c r="J165" i="2"/>
  <c r="S159" i="1"/>
  <c r="W159" i="1" l="1"/>
  <c r="X159" i="1" s="1"/>
  <c r="Z159" i="1"/>
  <c r="AA159" i="1" s="1"/>
  <c r="K165" i="2"/>
  <c r="J166" i="2"/>
  <c r="S160" i="1"/>
  <c r="W160" i="1" l="1"/>
  <c r="X160" i="1" s="1"/>
  <c r="Z160" i="1"/>
  <c r="AA160" i="1" s="1"/>
  <c r="K166" i="2"/>
  <c r="J167" i="2"/>
  <c r="S161" i="1"/>
  <c r="W161" i="1" l="1"/>
  <c r="X161" i="1" s="1"/>
  <c r="Z161" i="1"/>
  <c r="AA161" i="1" s="1"/>
  <c r="K167" i="2"/>
  <c r="J168" i="2"/>
  <c r="S162" i="1"/>
  <c r="W162" i="1" l="1"/>
  <c r="X162" i="1" s="1"/>
  <c r="Z162" i="1"/>
  <c r="AA162" i="1" s="1"/>
  <c r="J169" i="2"/>
  <c r="K168" i="2"/>
  <c r="S163" i="1"/>
  <c r="W163" i="1" l="1"/>
  <c r="X163" i="1" s="1"/>
  <c r="Z163" i="1"/>
  <c r="AA163" i="1" s="1"/>
  <c r="K169" i="2"/>
  <c r="J170" i="2"/>
  <c r="S164" i="1"/>
  <c r="W164" i="1" l="1"/>
  <c r="X164" i="1" s="1"/>
  <c r="Z164" i="1"/>
  <c r="AA164" i="1" s="1"/>
  <c r="J171" i="2"/>
  <c r="K170" i="2"/>
  <c r="S165" i="1"/>
  <c r="W165" i="1" l="1"/>
  <c r="X165" i="1" s="1"/>
  <c r="Z165" i="1"/>
  <c r="AA165" i="1" s="1"/>
  <c r="K171" i="2"/>
  <c r="J172" i="2"/>
  <c r="S166" i="1"/>
  <c r="W166" i="1" l="1"/>
  <c r="X166" i="1" s="1"/>
  <c r="Z166" i="1"/>
  <c r="AA166" i="1" s="1"/>
  <c r="K172" i="2"/>
  <c r="J173" i="2"/>
  <c r="S167" i="1"/>
  <c r="W167" i="1" l="1"/>
  <c r="X167" i="1" s="1"/>
  <c r="Z167" i="1"/>
  <c r="AA167" i="1" s="1"/>
  <c r="K173" i="2"/>
  <c r="J174" i="2"/>
  <c r="S168" i="1"/>
  <c r="W168" i="1" l="1"/>
  <c r="X168" i="1" s="1"/>
  <c r="Z168" i="1"/>
  <c r="AA168" i="1" s="1"/>
  <c r="J175" i="2"/>
  <c r="K174" i="2"/>
  <c r="S169" i="1"/>
  <c r="W169" i="1" l="1"/>
  <c r="X169" i="1" s="1"/>
  <c r="Z169" i="1"/>
  <c r="AA169" i="1" s="1"/>
  <c r="J176" i="2"/>
  <c r="K175" i="2"/>
  <c r="S170" i="1"/>
  <c r="W170" i="1" l="1"/>
  <c r="X170" i="1" s="1"/>
  <c r="Z170" i="1"/>
  <c r="AA170" i="1" s="1"/>
  <c r="J177" i="2"/>
  <c r="K176" i="2"/>
  <c r="S171" i="1"/>
  <c r="W171" i="1" l="1"/>
  <c r="X171" i="1" s="1"/>
  <c r="Z171" i="1"/>
  <c r="AA171" i="1" s="1"/>
  <c r="J178" i="2"/>
  <c r="K177" i="2"/>
  <c r="S172" i="1"/>
  <c r="W172" i="1" l="1"/>
  <c r="X172" i="1" s="1"/>
  <c r="Z172" i="1"/>
  <c r="AA172" i="1" s="1"/>
  <c r="K178" i="2"/>
  <c r="J179" i="2"/>
  <c r="S173" i="1"/>
  <c r="W173" i="1" l="1"/>
  <c r="X173" i="1" s="1"/>
  <c r="Z173" i="1"/>
  <c r="AA173" i="1" s="1"/>
  <c r="J180" i="2"/>
  <c r="K179" i="2"/>
  <c r="S174" i="1"/>
  <c r="W174" i="1" l="1"/>
  <c r="X174" i="1" s="1"/>
  <c r="Z174" i="1"/>
  <c r="AA174" i="1" s="1"/>
  <c r="K180" i="2"/>
  <c r="J181" i="2"/>
  <c r="S175" i="1"/>
  <c r="W175" i="1" l="1"/>
  <c r="X175" i="1" s="1"/>
  <c r="Z175" i="1"/>
  <c r="AA175" i="1" s="1"/>
  <c r="K181" i="2"/>
  <c r="J182" i="2"/>
  <c r="S176" i="1"/>
  <c r="W176" i="1" l="1"/>
  <c r="X176" i="1" s="1"/>
  <c r="Z176" i="1"/>
  <c r="AA176" i="1" s="1"/>
  <c r="J183" i="2"/>
  <c r="K182" i="2"/>
  <c r="S177" i="1"/>
  <c r="W177" i="1" l="1"/>
  <c r="X177" i="1" s="1"/>
  <c r="Z177" i="1"/>
  <c r="AA177" i="1" s="1"/>
  <c r="K183" i="2"/>
  <c r="J184" i="2"/>
  <c r="S178" i="1"/>
  <c r="W178" i="1" l="1"/>
  <c r="X178" i="1" s="1"/>
  <c r="Z178" i="1"/>
  <c r="AA178" i="1" s="1"/>
  <c r="K184" i="2"/>
  <c r="J185" i="2"/>
  <c r="S179" i="1"/>
  <c r="W179" i="1" l="1"/>
  <c r="X179" i="1" s="1"/>
  <c r="Z179" i="1"/>
  <c r="AA179" i="1" s="1"/>
  <c r="K185" i="2"/>
  <c r="J186" i="2"/>
  <c r="S180" i="1"/>
  <c r="W180" i="1" l="1"/>
  <c r="X180" i="1" s="1"/>
  <c r="Z180" i="1"/>
  <c r="AA180" i="1" s="1"/>
  <c r="J187" i="2"/>
  <c r="K186" i="2"/>
  <c r="S181" i="1"/>
  <c r="W181" i="1" l="1"/>
  <c r="X181" i="1" s="1"/>
  <c r="Z181" i="1"/>
  <c r="AA181" i="1" s="1"/>
  <c r="K187" i="2"/>
  <c r="J188" i="2"/>
  <c r="S182" i="1"/>
  <c r="W182" i="1" l="1"/>
  <c r="X182" i="1" s="1"/>
  <c r="Z182" i="1"/>
  <c r="AA182" i="1" s="1"/>
  <c r="K188" i="2"/>
  <c r="J189" i="2"/>
  <c r="S183" i="1"/>
  <c r="W183" i="1" l="1"/>
  <c r="X183" i="1" s="1"/>
  <c r="Z183" i="1"/>
  <c r="AA183" i="1" s="1"/>
  <c r="K189" i="2"/>
  <c r="J190" i="2"/>
  <c r="S184" i="1"/>
  <c r="W184" i="1" l="1"/>
  <c r="X184" i="1" s="1"/>
  <c r="Z184" i="1"/>
  <c r="AA184" i="1" s="1"/>
  <c r="J191" i="2"/>
  <c r="K190" i="2"/>
  <c r="S185" i="1"/>
  <c r="W185" i="1" l="1"/>
  <c r="X185" i="1" s="1"/>
  <c r="Z185" i="1"/>
  <c r="AA185" i="1" s="1"/>
  <c r="K191" i="2"/>
  <c r="J192" i="2"/>
  <c r="S186" i="1"/>
  <c r="W186" i="1" l="1"/>
  <c r="X186" i="1" s="1"/>
  <c r="Z186" i="1"/>
  <c r="AA186" i="1" s="1"/>
  <c r="K192" i="2"/>
  <c r="J193" i="2"/>
  <c r="S187" i="1"/>
  <c r="W187" i="1" l="1"/>
  <c r="X187" i="1" s="1"/>
  <c r="Z187" i="1"/>
  <c r="AA187" i="1" s="1"/>
  <c r="J194" i="2"/>
  <c r="K193" i="2"/>
  <c r="S188" i="1"/>
  <c r="W188" i="1" l="1"/>
  <c r="X188" i="1" s="1"/>
  <c r="Z188" i="1"/>
  <c r="AA188" i="1" s="1"/>
  <c r="J195" i="2"/>
  <c r="K194" i="2"/>
  <c r="S189" i="1"/>
  <c r="W189" i="1" l="1"/>
  <c r="X189" i="1" s="1"/>
  <c r="Z189" i="1"/>
  <c r="AA189" i="1" s="1"/>
  <c r="J196" i="2"/>
  <c r="K195" i="2"/>
  <c r="S190" i="1"/>
  <c r="W190" i="1" l="1"/>
  <c r="X190" i="1" s="1"/>
  <c r="Z190" i="1"/>
  <c r="AA190" i="1" s="1"/>
  <c r="K196" i="2"/>
  <c r="J197" i="2"/>
  <c r="S191" i="1"/>
  <c r="W191" i="1" l="1"/>
  <c r="X191" i="1" s="1"/>
  <c r="Z191" i="1"/>
  <c r="AA191" i="1" s="1"/>
  <c r="J198" i="2"/>
  <c r="K197" i="2"/>
  <c r="S192" i="1"/>
  <c r="W192" i="1" l="1"/>
  <c r="X192" i="1" s="1"/>
  <c r="Z192" i="1"/>
  <c r="AA192" i="1" s="1"/>
  <c r="J199" i="2"/>
  <c r="K198" i="2"/>
  <c r="S193" i="1"/>
  <c r="W193" i="1" l="1"/>
  <c r="X193" i="1" s="1"/>
  <c r="Z193" i="1"/>
  <c r="AA193" i="1" s="1"/>
  <c r="J200" i="2"/>
  <c r="K199" i="2"/>
  <c r="S194" i="1"/>
  <c r="W194" i="1" l="1"/>
  <c r="X194" i="1" s="1"/>
  <c r="Z194" i="1"/>
  <c r="AA194" i="1" s="1"/>
  <c r="J201" i="2"/>
  <c r="K200" i="2"/>
  <c r="S195" i="1"/>
  <c r="W195" i="1" l="1"/>
  <c r="X195" i="1" s="1"/>
  <c r="Z195" i="1"/>
  <c r="AA195" i="1" s="1"/>
  <c r="K201" i="2"/>
  <c r="J202" i="2"/>
  <c r="S196" i="1"/>
  <c r="W196" i="1" l="1"/>
  <c r="X196" i="1" s="1"/>
  <c r="Z196" i="1"/>
  <c r="AA196" i="1" s="1"/>
  <c r="K202" i="2"/>
  <c r="J203" i="2"/>
  <c r="S197" i="1"/>
  <c r="W197" i="1" l="1"/>
  <c r="X197" i="1" s="1"/>
  <c r="Z197" i="1"/>
  <c r="AA197" i="1" s="1"/>
  <c r="K203" i="2"/>
  <c r="J204" i="2"/>
  <c r="S198" i="1"/>
  <c r="W198" i="1" l="1"/>
  <c r="X198" i="1" s="1"/>
  <c r="Z198" i="1"/>
  <c r="AA198" i="1" s="1"/>
  <c r="K204" i="2"/>
  <c r="J205" i="2"/>
  <c r="S199" i="1"/>
  <c r="W199" i="1" l="1"/>
  <c r="X199" i="1" s="1"/>
  <c r="Z199" i="1"/>
  <c r="AA199" i="1" s="1"/>
  <c r="K205" i="2"/>
  <c r="J206" i="2"/>
  <c r="S200" i="1"/>
  <c r="W200" i="1" l="1"/>
  <c r="X200" i="1" s="1"/>
  <c r="Z200" i="1"/>
  <c r="AA200" i="1" s="1"/>
  <c r="K206" i="2"/>
  <c r="J207" i="2"/>
  <c r="S201" i="1"/>
  <c r="W201" i="1" l="1"/>
  <c r="X201" i="1" s="1"/>
  <c r="Z201" i="1"/>
  <c r="AA201" i="1" s="1"/>
  <c r="K207" i="2"/>
  <c r="J208" i="2"/>
  <c r="S202" i="1"/>
  <c r="W202" i="1" l="1"/>
  <c r="X202" i="1" s="1"/>
  <c r="Z202" i="1"/>
  <c r="AA202" i="1" s="1"/>
  <c r="K208" i="2"/>
  <c r="J209" i="2"/>
  <c r="S203" i="1"/>
  <c r="W203" i="1" l="1"/>
  <c r="X203" i="1" s="1"/>
  <c r="Z203" i="1"/>
  <c r="AA203" i="1" s="1"/>
  <c r="K209" i="2"/>
  <c r="J210" i="2"/>
  <c r="S204" i="1"/>
  <c r="W204" i="1" l="1"/>
  <c r="X204" i="1" s="1"/>
  <c r="Z204" i="1"/>
  <c r="AA204" i="1" s="1"/>
  <c r="K210" i="2"/>
  <c r="J211" i="2"/>
  <c r="S205" i="1"/>
  <c r="W205" i="1" l="1"/>
  <c r="X205" i="1" s="1"/>
  <c r="Z205" i="1"/>
  <c r="AA205" i="1" s="1"/>
  <c r="K211" i="2"/>
  <c r="J212" i="2"/>
  <c r="S206" i="1"/>
  <c r="W206" i="1" l="1"/>
  <c r="X206" i="1" s="1"/>
  <c r="Z206" i="1"/>
  <c r="AA206" i="1" s="1"/>
  <c r="K212" i="2"/>
  <c r="J213" i="2"/>
  <c r="S207" i="1"/>
  <c r="W207" i="1" l="1"/>
  <c r="X207" i="1" s="1"/>
  <c r="Z207" i="1"/>
  <c r="AA207" i="1" s="1"/>
  <c r="K213" i="2"/>
  <c r="J214" i="2"/>
  <c r="S208" i="1"/>
  <c r="W208" i="1" l="1"/>
  <c r="X208" i="1" s="1"/>
  <c r="Z208" i="1"/>
  <c r="AA208" i="1" s="1"/>
  <c r="J215" i="2"/>
  <c r="K214" i="2"/>
  <c r="S209" i="1"/>
  <c r="W209" i="1" l="1"/>
  <c r="X209" i="1" s="1"/>
  <c r="Z209" i="1"/>
  <c r="AA209" i="1" s="1"/>
  <c r="K215" i="2"/>
  <c r="J216" i="2"/>
  <c r="S210" i="1"/>
  <c r="W210" i="1" l="1"/>
  <c r="X210" i="1" s="1"/>
  <c r="Z210" i="1"/>
  <c r="AA210" i="1" s="1"/>
  <c r="K216" i="2"/>
  <c r="J217" i="2"/>
  <c r="S211" i="1"/>
  <c r="W211" i="1" l="1"/>
  <c r="X211" i="1" s="1"/>
  <c r="Z211" i="1"/>
  <c r="AA211" i="1" s="1"/>
  <c r="K217" i="2"/>
  <c r="J218" i="2"/>
  <c r="S212" i="1"/>
  <c r="W212" i="1" l="1"/>
  <c r="X212" i="1" s="1"/>
  <c r="Z212" i="1"/>
  <c r="AA212" i="1" s="1"/>
  <c r="J219" i="2"/>
  <c r="K218" i="2"/>
  <c r="S213" i="1"/>
  <c r="W213" i="1" l="1"/>
  <c r="X213" i="1" s="1"/>
  <c r="Z213" i="1"/>
  <c r="AA213" i="1" s="1"/>
  <c r="K219" i="2"/>
  <c r="J220" i="2"/>
  <c r="S214" i="1"/>
  <c r="W214" i="1" l="1"/>
  <c r="X214" i="1" s="1"/>
  <c r="Z214" i="1"/>
  <c r="AA214" i="1" s="1"/>
  <c r="J221" i="2"/>
  <c r="K220" i="2"/>
  <c r="S215" i="1"/>
  <c r="W215" i="1" l="1"/>
  <c r="X215" i="1" s="1"/>
  <c r="Z215" i="1"/>
  <c r="AA215" i="1" s="1"/>
  <c r="K221" i="2"/>
  <c r="J222" i="2"/>
  <c r="S216" i="1"/>
  <c r="W216" i="1" l="1"/>
  <c r="X216" i="1" s="1"/>
  <c r="Z216" i="1"/>
  <c r="AA216" i="1" s="1"/>
  <c r="J223" i="2"/>
  <c r="K222" i="2"/>
  <c r="S217" i="1"/>
  <c r="W217" i="1" l="1"/>
  <c r="X217" i="1" s="1"/>
  <c r="Z217" i="1"/>
  <c r="AA217" i="1" s="1"/>
  <c r="K223" i="2"/>
  <c r="J224" i="2"/>
  <c r="S218" i="1"/>
  <c r="W218" i="1" l="1"/>
  <c r="X218" i="1" s="1"/>
  <c r="Z218" i="1"/>
  <c r="AA218" i="1" s="1"/>
  <c r="K224" i="2"/>
  <c r="J225" i="2"/>
  <c r="S219" i="1"/>
  <c r="W219" i="1" l="1"/>
  <c r="X219" i="1" s="1"/>
  <c r="Z219" i="1"/>
  <c r="AA219" i="1" s="1"/>
  <c r="K225" i="2"/>
  <c r="J226" i="2"/>
  <c r="S220" i="1"/>
  <c r="W220" i="1" l="1"/>
  <c r="X220" i="1" s="1"/>
  <c r="Z220" i="1"/>
  <c r="AA220" i="1" s="1"/>
  <c r="J227" i="2"/>
  <c r="K226" i="2"/>
  <c r="S221" i="1"/>
  <c r="W221" i="1" l="1"/>
  <c r="X221" i="1" s="1"/>
  <c r="Z221" i="1"/>
  <c r="AA221" i="1" s="1"/>
  <c r="J228" i="2"/>
  <c r="K227" i="2"/>
  <c r="S222" i="1"/>
  <c r="W222" i="1" l="1"/>
  <c r="X222" i="1" s="1"/>
  <c r="Z222" i="1"/>
  <c r="AA222" i="1" s="1"/>
  <c r="J229" i="2"/>
  <c r="K228" i="2"/>
  <c r="S223" i="1"/>
  <c r="W223" i="1" l="1"/>
  <c r="X223" i="1" s="1"/>
  <c r="Z223" i="1"/>
  <c r="AA223" i="1" s="1"/>
  <c r="K229" i="2"/>
  <c r="J230" i="2"/>
  <c r="S224" i="1"/>
  <c r="W224" i="1" l="1"/>
  <c r="X224" i="1" s="1"/>
  <c r="Z224" i="1"/>
  <c r="AA224" i="1" s="1"/>
  <c r="K230" i="2"/>
  <c r="J231" i="2"/>
  <c r="S225" i="1"/>
  <c r="W225" i="1" l="1"/>
  <c r="X225" i="1" s="1"/>
  <c r="Z225" i="1"/>
  <c r="AA225" i="1" s="1"/>
  <c r="K231" i="2"/>
  <c r="J232" i="2"/>
  <c r="S226" i="1"/>
  <c r="W226" i="1" l="1"/>
  <c r="X226" i="1" s="1"/>
  <c r="Z226" i="1"/>
  <c r="AA226" i="1" s="1"/>
  <c r="K232" i="2"/>
  <c r="J233" i="2"/>
  <c r="S227" i="1"/>
  <c r="W227" i="1" l="1"/>
  <c r="X227" i="1" s="1"/>
  <c r="Z227" i="1"/>
  <c r="AA227" i="1" s="1"/>
  <c r="K233" i="2"/>
  <c r="J234" i="2"/>
  <c r="S228" i="1"/>
  <c r="W228" i="1" l="1"/>
  <c r="X228" i="1" s="1"/>
  <c r="Z228" i="1"/>
  <c r="AA228" i="1" s="1"/>
  <c r="J235" i="2"/>
  <c r="K234" i="2"/>
  <c r="S229" i="1"/>
  <c r="W229" i="1" l="1"/>
  <c r="X229" i="1" s="1"/>
  <c r="Z229" i="1"/>
  <c r="AA229" i="1" s="1"/>
  <c r="K235" i="2"/>
  <c r="J236" i="2"/>
  <c r="S230" i="1"/>
  <c r="W230" i="1" l="1"/>
  <c r="X230" i="1" s="1"/>
  <c r="Z230" i="1"/>
  <c r="AA230" i="1" s="1"/>
  <c r="K236" i="2"/>
  <c r="J237" i="2"/>
  <c r="S231" i="1"/>
  <c r="W231" i="1" l="1"/>
  <c r="X231" i="1" s="1"/>
  <c r="Z231" i="1"/>
  <c r="AA231" i="1" s="1"/>
  <c r="K237" i="2"/>
  <c r="J238" i="2"/>
  <c r="S232" i="1"/>
  <c r="W232" i="1" l="1"/>
  <c r="X232" i="1" s="1"/>
  <c r="Z232" i="1"/>
  <c r="AA232" i="1" s="1"/>
  <c r="J239" i="2"/>
  <c r="K238" i="2"/>
  <c r="S233" i="1"/>
  <c r="W233" i="1" l="1"/>
  <c r="X233" i="1" s="1"/>
  <c r="Z233" i="1"/>
  <c r="AA233" i="1" s="1"/>
  <c r="J240" i="2"/>
  <c r="K239" i="2"/>
  <c r="S234" i="1"/>
  <c r="W234" i="1" l="1"/>
  <c r="X234" i="1" s="1"/>
  <c r="Z234" i="1"/>
  <c r="AA234" i="1" s="1"/>
  <c r="K240" i="2"/>
  <c r="J241" i="2"/>
  <c r="S235" i="1"/>
  <c r="W235" i="1" l="1"/>
  <c r="X235" i="1" s="1"/>
  <c r="Z235" i="1"/>
  <c r="AA235" i="1" s="1"/>
  <c r="K241" i="2"/>
  <c r="J242" i="2"/>
  <c r="S236" i="1"/>
  <c r="W236" i="1" l="1"/>
  <c r="X236" i="1" s="1"/>
  <c r="Z236" i="1"/>
  <c r="AA236" i="1" s="1"/>
  <c r="K242" i="2"/>
  <c r="J243" i="2"/>
  <c r="S237" i="1"/>
  <c r="W237" i="1" l="1"/>
  <c r="X237" i="1" s="1"/>
  <c r="Z237" i="1"/>
  <c r="AA237" i="1" s="1"/>
  <c r="J244" i="2"/>
  <c r="K243" i="2"/>
  <c r="S238" i="1"/>
  <c r="W238" i="1" l="1"/>
  <c r="X238" i="1" s="1"/>
  <c r="Z238" i="1"/>
  <c r="AA238" i="1" s="1"/>
  <c r="J245" i="2"/>
  <c r="K244" i="2"/>
  <c r="S239" i="1"/>
  <c r="W239" i="1" l="1"/>
  <c r="X239" i="1" s="1"/>
  <c r="Z239" i="1"/>
  <c r="AA239" i="1" s="1"/>
  <c r="J246" i="2"/>
  <c r="K245" i="2"/>
  <c r="S240" i="1"/>
  <c r="W240" i="1" l="1"/>
  <c r="X240" i="1" s="1"/>
  <c r="Z240" i="1"/>
  <c r="AA240" i="1" s="1"/>
  <c r="J247" i="2"/>
  <c r="K246" i="2"/>
  <c r="S241" i="1"/>
  <c r="W241" i="1" l="1"/>
  <c r="X241" i="1" s="1"/>
  <c r="Z241" i="1"/>
  <c r="AA241" i="1" s="1"/>
  <c r="J248" i="2"/>
  <c r="K247" i="2"/>
  <c r="S242" i="1"/>
  <c r="W242" i="1" l="1"/>
  <c r="X242" i="1" s="1"/>
  <c r="Z242" i="1"/>
  <c r="AA242" i="1" s="1"/>
  <c r="K248" i="2"/>
  <c r="J249" i="2"/>
  <c r="S243" i="1"/>
  <c r="W243" i="1" l="1"/>
  <c r="X243" i="1" s="1"/>
  <c r="Z243" i="1"/>
  <c r="AA243" i="1" s="1"/>
  <c r="K249" i="2"/>
  <c r="J250" i="2"/>
  <c r="S244" i="1"/>
  <c r="W244" i="1" l="1"/>
  <c r="X244" i="1" s="1"/>
  <c r="Z244" i="1"/>
  <c r="AA244" i="1" s="1"/>
  <c r="K250" i="2"/>
  <c r="J251" i="2"/>
  <c r="S245" i="1"/>
  <c r="W245" i="1" l="1"/>
  <c r="X245" i="1" s="1"/>
  <c r="Z245" i="1"/>
  <c r="AA245" i="1" s="1"/>
  <c r="K251" i="2"/>
  <c r="J252" i="2"/>
  <c r="S246" i="1"/>
  <c r="W246" i="1" l="1"/>
  <c r="X246" i="1" s="1"/>
  <c r="Z246" i="1"/>
  <c r="AA246" i="1" s="1"/>
  <c r="K252" i="2"/>
  <c r="J253" i="2"/>
  <c r="S247" i="1"/>
  <c r="W247" i="1" l="1"/>
  <c r="X247" i="1" s="1"/>
  <c r="Z247" i="1"/>
  <c r="AA247" i="1" s="1"/>
  <c r="K253" i="2"/>
  <c r="J254" i="2"/>
  <c r="S248" i="1"/>
  <c r="W248" i="1" l="1"/>
  <c r="X248" i="1" s="1"/>
  <c r="Z248" i="1"/>
  <c r="AA248" i="1" s="1"/>
  <c r="K254" i="2"/>
  <c r="J255" i="2"/>
  <c r="S249" i="1"/>
  <c r="W249" i="1" l="1"/>
  <c r="X249" i="1" s="1"/>
  <c r="Z249" i="1"/>
  <c r="AA249" i="1" s="1"/>
  <c r="J256" i="2"/>
  <c r="K255" i="2"/>
  <c r="S250" i="1"/>
  <c r="W250" i="1" l="1"/>
  <c r="X250" i="1" s="1"/>
  <c r="Z250" i="1"/>
  <c r="AA250" i="1" s="1"/>
  <c r="K256" i="2"/>
  <c r="J257" i="2"/>
  <c r="S251" i="1"/>
  <c r="W251" i="1" l="1"/>
  <c r="X251" i="1" s="1"/>
  <c r="Z251" i="1"/>
  <c r="AA251" i="1" s="1"/>
  <c r="K257" i="2"/>
  <c r="J258" i="2"/>
  <c r="S252" i="1"/>
  <c r="W252" i="1" l="1"/>
  <c r="X252" i="1" s="1"/>
  <c r="Z252" i="1"/>
  <c r="AA252" i="1" s="1"/>
  <c r="J259" i="2"/>
  <c r="K258" i="2"/>
  <c r="S253" i="1"/>
  <c r="W253" i="1" l="1"/>
  <c r="X253" i="1" s="1"/>
  <c r="Z253" i="1"/>
  <c r="AA253" i="1" s="1"/>
  <c r="J260" i="2"/>
  <c r="K259" i="2"/>
  <c r="S254" i="1"/>
  <c r="W254" i="1" l="1"/>
  <c r="X254" i="1" s="1"/>
  <c r="Z254" i="1"/>
  <c r="AA254" i="1" s="1"/>
  <c r="K260" i="2"/>
  <c r="J261" i="2"/>
  <c r="S255" i="1"/>
  <c r="W255" i="1" l="1"/>
  <c r="X255" i="1" s="1"/>
  <c r="Z255" i="1"/>
  <c r="AA255" i="1" s="1"/>
  <c r="J262" i="2"/>
  <c r="K261" i="2"/>
  <c r="S256" i="1"/>
  <c r="W256" i="1" l="1"/>
  <c r="X256" i="1" s="1"/>
  <c r="Z256" i="1"/>
  <c r="AA256" i="1" s="1"/>
  <c r="K262" i="2"/>
  <c r="J263" i="2"/>
  <c r="S257" i="1"/>
  <c r="W257" i="1" l="1"/>
  <c r="X257" i="1" s="1"/>
  <c r="Z257" i="1"/>
  <c r="AA257" i="1" s="1"/>
  <c r="K263" i="2"/>
  <c r="J264" i="2"/>
  <c r="S258" i="1"/>
  <c r="W258" i="1" l="1"/>
  <c r="X258" i="1" s="1"/>
  <c r="Z258" i="1"/>
  <c r="AA258" i="1" s="1"/>
  <c r="K264" i="2"/>
  <c r="J265" i="2"/>
  <c r="S259" i="1"/>
  <c r="W259" i="1" l="1"/>
  <c r="X259" i="1" s="1"/>
  <c r="Z259" i="1"/>
  <c r="AA259" i="1" s="1"/>
  <c r="J266" i="2"/>
  <c r="K265" i="2"/>
  <c r="S260" i="1"/>
  <c r="W260" i="1" l="1"/>
  <c r="X260" i="1" s="1"/>
  <c r="Z260" i="1"/>
  <c r="AA260" i="1" s="1"/>
  <c r="J267" i="2"/>
  <c r="K266" i="2"/>
  <c r="S261" i="1"/>
  <c r="W261" i="1" l="1"/>
  <c r="X261" i="1" s="1"/>
  <c r="Z261" i="1"/>
  <c r="AA261" i="1" s="1"/>
  <c r="J268" i="2"/>
  <c r="K267" i="2"/>
  <c r="S262" i="1"/>
  <c r="W262" i="1" l="1"/>
  <c r="X262" i="1" s="1"/>
  <c r="Z262" i="1"/>
  <c r="AA262" i="1" s="1"/>
  <c r="J269" i="2"/>
  <c r="K268" i="2"/>
  <c r="S263" i="1"/>
  <c r="W263" i="1" l="1"/>
  <c r="X263" i="1" s="1"/>
  <c r="Z263" i="1"/>
  <c r="AA263" i="1" s="1"/>
  <c r="J270" i="2"/>
  <c r="K269" i="2"/>
  <c r="S264" i="1"/>
  <c r="W264" i="1" l="1"/>
  <c r="X264" i="1" s="1"/>
  <c r="Z264" i="1"/>
  <c r="AA264" i="1" s="1"/>
  <c r="J271" i="2"/>
  <c r="K270" i="2"/>
  <c r="S265" i="1"/>
  <c r="W265" i="1" l="1"/>
  <c r="X265" i="1" s="1"/>
  <c r="Z265" i="1"/>
  <c r="AA265" i="1" s="1"/>
  <c r="J272" i="2"/>
  <c r="K271" i="2"/>
  <c r="S266" i="1"/>
  <c r="W266" i="1" l="1"/>
  <c r="X266" i="1" s="1"/>
  <c r="Z266" i="1"/>
  <c r="AA266" i="1" s="1"/>
  <c r="J273" i="2"/>
  <c r="K272" i="2"/>
  <c r="S267" i="1"/>
  <c r="W267" i="1" l="1"/>
  <c r="X267" i="1" s="1"/>
  <c r="Z267" i="1"/>
  <c r="AA267" i="1" s="1"/>
  <c r="J274" i="2"/>
  <c r="K273" i="2"/>
  <c r="S268" i="1"/>
  <c r="D36" i="1" l="1"/>
  <c r="W268" i="1"/>
  <c r="X268" i="1" s="1"/>
  <c r="Z268" i="1"/>
  <c r="AA268" i="1" s="1"/>
  <c r="K274" i="2"/>
  <c r="J275" i="2"/>
  <c r="S269" i="1"/>
  <c r="W269" i="1" l="1"/>
  <c r="X269" i="1" s="1"/>
  <c r="Z269" i="1"/>
  <c r="AA269" i="1" s="1"/>
  <c r="J276" i="2"/>
  <c r="K275" i="2"/>
  <c r="S270" i="1"/>
  <c r="D39" i="1" l="1"/>
  <c r="D41" i="1" s="1"/>
  <c r="D42" i="1" s="1"/>
  <c r="W270" i="1"/>
  <c r="X270" i="1" s="1"/>
  <c r="Z270" i="1"/>
  <c r="AA270" i="1" s="1"/>
  <c r="J277" i="2"/>
  <c r="K276" i="2"/>
  <c r="S271" i="1"/>
  <c r="W271" i="1" l="1"/>
  <c r="X271" i="1" s="1"/>
  <c r="Z271" i="1"/>
  <c r="AA271" i="1" s="1"/>
  <c r="J278" i="2"/>
  <c r="K277" i="2"/>
  <c r="S272" i="1"/>
  <c r="W272" i="1" l="1"/>
  <c r="X272" i="1" s="1"/>
  <c r="Z272" i="1"/>
  <c r="AA272" i="1" s="1"/>
  <c r="J279" i="2"/>
  <c r="K278" i="2"/>
  <c r="S273" i="1"/>
  <c r="W273" i="1" l="1"/>
  <c r="X273" i="1" s="1"/>
  <c r="Z273" i="1"/>
  <c r="AA273" i="1" s="1"/>
  <c r="K279" i="2"/>
  <c r="J280" i="2"/>
  <c r="S274" i="1"/>
  <c r="W274" i="1" l="1"/>
  <c r="X274" i="1" s="1"/>
  <c r="Z274" i="1"/>
  <c r="AA274" i="1" s="1"/>
  <c r="J281" i="2"/>
  <c r="K280" i="2"/>
  <c r="W275" i="1" l="1"/>
  <c r="X275" i="1" s="1"/>
  <c r="Z275" i="1"/>
  <c r="AA275" i="1" s="1"/>
  <c r="J282" i="2"/>
  <c r="K281" i="2"/>
  <c r="S276" i="1"/>
  <c r="W276" i="1" l="1"/>
  <c r="X276" i="1" s="1"/>
  <c r="Z276" i="1"/>
  <c r="AA276" i="1" s="1"/>
  <c r="J283" i="2"/>
  <c r="K282" i="2"/>
  <c r="S277" i="1"/>
  <c r="W277" i="1" l="1"/>
  <c r="X277" i="1" s="1"/>
  <c r="Z277" i="1"/>
  <c r="AA277" i="1" s="1"/>
  <c r="J284" i="2"/>
  <c r="K283" i="2"/>
  <c r="S278" i="1"/>
  <c r="W278" i="1" l="1"/>
  <c r="X278" i="1" s="1"/>
  <c r="Z278" i="1"/>
  <c r="AA278" i="1" s="1"/>
  <c r="J285" i="2"/>
  <c r="K284" i="2"/>
  <c r="S279" i="1"/>
  <c r="W279" i="1" l="1"/>
  <c r="X279" i="1" s="1"/>
  <c r="Z279" i="1"/>
  <c r="AA279" i="1" s="1"/>
  <c r="J286" i="2"/>
  <c r="K285" i="2"/>
  <c r="S280" i="1"/>
  <c r="W280" i="1" l="1"/>
  <c r="X280" i="1" s="1"/>
  <c r="Z280" i="1"/>
  <c r="AA280" i="1" s="1"/>
  <c r="J287" i="2"/>
  <c r="K286" i="2"/>
  <c r="S281" i="1"/>
  <c r="W281" i="1" l="1"/>
  <c r="X281" i="1" s="1"/>
  <c r="Z281" i="1"/>
  <c r="AA281" i="1" s="1"/>
  <c r="J288" i="2"/>
  <c r="K287" i="2"/>
  <c r="S282" i="1"/>
  <c r="W282" i="1" l="1"/>
  <c r="X282" i="1" s="1"/>
  <c r="Z282" i="1"/>
  <c r="AA282" i="1" s="1"/>
  <c r="K288" i="2"/>
  <c r="J289" i="2"/>
  <c r="S283" i="1"/>
  <c r="W283" i="1" l="1"/>
  <c r="X283" i="1" s="1"/>
  <c r="Z283" i="1"/>
  <c r="AA283" i="1" s="1"/>
  <c r="K289" i="2"/>
  <c r="J290" i="2"/>
  <c r="S284" i="1"/>
  <c r="W284" i="1" l="1"/>
  <c r="X284" i="1" s="1"/>
  <c r="Z284" i="1"/>
  <c r="AA284" i="1" s="1"/>
  <c r="K290" i="2"/>
  <c r="J291" i="2"/>
  <c r="S285" i="1"/>
  <c r="W285" i="1" l="1"/>
  <c r="X285" i="1" s="1"/>
  <c r="Z285" i="1"/>
  <c r="AA285" i="1" s="1"/>
  <c r="J292" i="2"/>
  <c r="K292" i="2" s="1"/>
  <c r="K291" i="2"/>
  <c r="S287" i="1"/>
  <c r="S286" i="1"/>
  <c r="W287" i="1" l="1"/>
  <c r="X287" i="1" s="1"/>
  <c r="Z287" i="1"/>
  <c r="AA287" i="1" s="1"/>
  <c r="W286" i="1"/>
  <c r="X286" i="1" s="1"/>
  <c r="Z286" i="1"/>
  <c r="AA286" i="1" s="1"/>
  <c r="Z18" i="1" l="1"/>
  <c r="AA18" i="1" s="1"/>
  <c r="W18" i="1"/>
  <c r="X18" i="1" s="1"/>
  <c r="D43" i="1" l="1"/>
  <c r="D44" i="1" s="1"/>
  <c r="W19" i="1"/>
  <c r="X19" i="1" s="1"/>
  <c r="Z19" i="1"/>
  <c r="AA19" i="1" s="1"/>
  <c r="W21" i="1" l="1"/>
  <c r="X21" i="1" s="1"/>
  <c r="Z21" i="1"/>
  <c r="AA21" i="1" s="1"/>
  <c r="Z20" i="1"/>
  <c r="AA20" i="1" s="1"/>
  <c r="W20" i="1"/>
  <c r="X20" i="1" s="1"/>
</calcChain>
</file>

<file path=xl/sharedStrings.xml><?xml version="1.0" encoding="utf-8"?>
<sst xmlns="http://schemas.openxmlformats.org/spreadsheetml/2006/main" count="1549" uniqueCount="372">
  <si>
    <t>Operational Fire hydrant/sprinkler/water spray system/fire alarm/smoke detectors</t>
  </si>
  <si>
    <t>Electrical Installations - Well maintained standard equipment and installations</t>
  </si>
  <si>
    <t>Provision of storm water drainage system and building with plinth level at least 1.5 ft above ground</t>
  </si>
  <si>
    <t>High standard of Security for 24*7 and CCTVs</t>
  </si>
  <si>
    <t>Past 3 year claim ratio</t>
  </si>
  <si>
    <t>Basement in the building used for Operations/storage/plants &amp; machinery installed therein</t>
  </si>
  <si>
    <t>Insured premises located within 1KM distance of a water body</t>
  </si>
  <si>
    <t>Risk is located in a thickly populated area with no access to fire brigade vehicle</t>
  </si>
  <si>
    <t>NO</t>
  </si>
  <si>
    <t>YES</t>
  </si>
  <si>
    <t>Features</t>
  </si>
  <si>
    <t>YES/NO</t>
  </si>
  <si>
    <t>-D/L</t>
  </si>
  <si>
    <t>Discretionary Discount</t>
  </si>
  <si>
    <t>Total Disc(-)/Loading</t>
  </si>
  <si>
    <t>Occupancy</t>
  </si>
  <si>
    <t>IIB Occupancy  Code</t>
  </si>
  <si>
    <t>Section</t>
  </si>
  <si>
    <t>Occupancy  Description</t>
  </si>
  <si>
    <t>Category</t>
  </si>
  <si>
    <t>Flexa Rate</t>
  </si>
  <si>
    <t>NIA Adjusted Flexa Rate</t>
  </si>
  <si>
    <t>STFI Rate</t>
  </si>
  <si>
    <t>NIA Adjusted STFI Rate</t>
  </si>
  <si>
    <t>EQ Rate</t>
  </si>
  <si>
    <t>NIA Adjusted EQ Rate</t>
  </si>
  <si>
    <t>Terrorism Rate</t>
  </si>
  <si>
    <t>III</t>
  </si>
  <si>
    <t>Places of worships</t>
  </si>
  <si>
    <t>Libraries</t>
  </si>
  <si>
    <t>Museums</t>
  </si>
  <si>
    <t>Schools / Colleges</t>
  </si>
  <si>
    <t>Hospitals including X-ray and other Diagnostic clinics</t>
  </si>
  <si>
    <t>Office premises / Meeting Rooms</t>
  </si>
  <si>
    <t>Auditoriums / Planetarium</t>
  </si>
  <si>
    <t>Mess Houses / Clubs</t>
  </si>
  <si>
    <t>Marriage Halls</t>
  </si>
  <si>
    <t>Showrooms and display centres where goods are kept for display and no sales are carried out</t>
  </si>
  <si>
    <t>Educational and Research Institutes imparting training in various crafts</t>
  </si>
  <si>
    <t>Lodging / Boarding Houses</t>
  </si>
  <si>
    <t>Cycle Shed</t>
  </si>
  <si>
    <t>Dish Antenna</t>
  </si>
  <si>
    <t>Indoor stadiums, health Club, Gymnasium and Swimming Pool</t>
  </si>
  <si>
    <t>Cafes, Restaurants, Hotels, Confectioner and Sweet meat sellers, Health Resorts</t>
  </si>
  <si>
    <t>Laundries / Dry Cleaning</t>
  </si>
  <si>
    <t>Battery Charging Service Stations</t>
  </si>
  <si>
    <t>Amusement Parks</t>
  </si>
  <si>
    <t>Hoarding, Neon signs</t>
  </si>
  <si>
    <t>Sports Galleries, Outdoor Stadiums</t>
  </si>
  <si>
    <t>Shops dealing in goods otherwise not provided for</t>
  </si>
  <si>
    <t>Shops dealing in hazardous goods</t>
  </si>
  <si>
    <t>Arms and Ammunition dealers</t>
  </si>
  <si>
    <t>Motor Vehicle showroom  including sales and  service</t>
  </si>
  <si>
    <t>Fuel Station - Petrol/Diesel Kiosks [without CNG]</t>
  </si>
  <si>
    <t>Fuel Station - Petrol/Diesel Kiosks [with CNG]</t>
  </si>
  <si>
    <t>Data Processing/Call Centres/Business Process Outsourcing Centres</t>
  </si>
  <si>
    <t>IV</t>
  </si>
  <si>
    <t>Abrasive Manufacturing</t>
  </si>
  <si>
    <t>Aerated Water Factories</t>
  </si>
  <si>
    <t>Aerial Ropeway including trolley stations</t>
  </si>
  <si>
    <t>Agarbatti Manufacturing</t>
  </si>
  <si>
    <t>Aircraft Hangers</t>
  </si>
  <si>
    <t>Airport Terminal Buildings [ including all facilities like Cafes, Shops etc]</t>
  </si>
  <si>
    <t>Aluminium, Zinc, Copper Factories</t>
  </si>
  <si>
    <t>Aluminium/ Magnesium Powder Plants</t>
  </si>
  <si>
    <t>Areca nut and/or Betel nut factories</t>
  </si>
  <si>
    <t>Asbestos Steam Packing and lagging manufacturing</t>
  </si>
  <si>
    <t>Atta and Cereal Grinding [Excluding Dal Mills]</t>
  </si>
  <si>
    <t>Audio/Video Cassette Manufacturing</t>
  </si>
  <si>
    <t>Automobile Filter Manufacturing</t>
  </si>
  <si>
    <t>Automobile Manufacturing</t>
  </si>
  <si>
    <t>Bakeries</t>
  </si>
  <si>
    <t>Basket Weavers and Cane Furniture Makers</t>
  </si>
  <si>
    <t>Battery Manufacturing</t>
  </si>
  <si>
    <t>Beedi Factories</t>
  </si>
  <si>
    <t>Biscuit Factories</t>
  </si>
  <si>
    <t>Bituminised Paper and / or Hessian Cloth Manufacturing including Tar Felt Manufacturing</t>
  </si>
  <si>
    <t>Book Binders, Envelope and Paper Bag Manufacturing</t>
  </si>
  <si>
    <t>Breweries</t>
  </si>
  <si>
    <t>Brickworks {including refractories and fire bricks}.</t>
  </si>
  <si>
    <t>Bridges - Concrete / Steel</t>
  </si>
  <si>
    <t>Bridges - Wooden</t>
  </si>
  <si>
    <t>Building  in  course  of  construction</t>
  </si>
  <si>
    <t>Cable Manufacturing</t>
  </si>
  <si>
    <t>Camphor Manufacturing</t>
  </si>
  <si>
    <t>Candle Works</t>
  </si>
  <si>
    <t>Canning Factories</t>
  </si>
  <si>
    <t>Capsule Manufacturing</t>
  </si>
  <si>
    <t>Carbon paper / Typewriter Ribbon Manufacturing</t>
  </si>
  <si>
    <t>Cardamom Factories</t>
  </si>
  <si>
    <t>Cardboard Box Manufacturing</t>
  </si>
  <si>
    <t>Carpenters, Wood wool Manufacturing, Furniture Manufacturing and other wood worker shops [Excluding saw Mill]</t>
  </si>
  <si>
    <t>Carpet and Drugget Manufacturing [Cotton/jute/wool]</t>
  </si>
  <si>
    <t>Carpet and Drugget Manufacturing [Others]</t>
  </si>
  <si>
    <t>Cashew nut Factories</t>
  </si>
  <si>
    <t>Cattle feed Mill</t>
  </si>
  <si>
    <t>Celluloid Goods Manufacturing</t>
  </si>
  <si>
    <t>Cement / asbestos/concrete products Manufacturing</t>
  </si>
  <si>
    <t>Cement Factories</t>
  </si>
  <si>
    <t>Ceramic Factories and Crockery and Stoneware pipe Manufacturing/Clay Works.</t>
  </si>
  <si>
    <t>Chemical Manufacturing (Using materials  with Flash Point below 32*C), Bulk Drug Manufacturing</t>
  </si>
  <si>
    <t>Chemical Manufacturing (Others), Pharmaceuticals,  Toiletry products</t>
  </si>
  <si>
    <t>Cigar and Cigarette Manufacturing</t>
  </si>
  <si>
    <t>Cigarette Filter Manufacturing(Using Solvents with flash Point below 32*C)</t>
  </si>
  <si>
    <t>Cigarette Filter Manufacturing (Others)</t>
  </si>
  <si>
    <t>Cinema Film Production Studios</t>
  </si>
  <si>
    <t>Cinematography Film Editing, Laboratory and Sound recording rooms where Film Processing is carried out</t>
  </si>
  <si>
    <t>Cinematography Film Editing, Laboratory and Sound recording rooms without Film Processing</t>
  </si>
  <si>
    <t>Cinema Theatres [For single screen]</t>
  </si>
  <si>
    <t>Circus, Touring Drama Troupes and Touring Cinema Theatres</t>
  </si>
  <si>
    <t>Cloth Proessing units situated  outside  the compound  of Textile  mills  and cloth processing   units   which are  not  owned  by the  textile  mills but are  situated  within  the   textile  mills   complex/compound.</t>
  </si>
  <si>
    <t>Coal/cake/Charcoal ball and briquettes Manufacturing</t>
  </si>
  <si>
    <t>Coal Processing Plants</t>
  </si>
  <si>
    <t>Coffee Curing, Roasting / Grinding</t>
  </si>
  <si>
    <t>Coir Factories</t>
  </si>
  <si>
    <t>Collieries - Underground Machinery and pit head gear and Dragline Machine used in Collieries</t>
  </si>
  <si>
    <t>Condensed Milk Factories, Milk Pasteurising Plants and Dairies</t>
  </si>
  <si>
    <t>Confectionery Manufacturing Plants/Sugar Candy Manufacturing Plants/Sweet Meat Manufacturing Plants</t>
  </si>
  <si>
    <t>Contractors Plant and Machinery anywhere in India (at specified locations)</t>
  </si>
  <si>
    <t>Contractors Plant and Machinery - At one location only</t>
  </si>
  <si>
    <t>Cork Products Manufacturing</t>
  </si>
  <si>
    <t>Cotton Gin and Press Houses</t>
  </si>
  <si>
    <t>Cotton Seed cleaning / Delinting  Factory</t>
  </si>
  <si>
    <t>Dehydration Factories</t>
  </si>
  <si>
    <t>Detergent Manufacturing with Sulphonation Plant</t>
  </si>
  <si>
    <t>Detergent Manufacturing (Others)</t>
  </si>
  <si>
    <t>Disposable Diaper manufacturing</t>
  </si>
  <si>
    <t>Distilleries</t>
  </si>
  <si>
    <t>Duplicating.stencil paper Manufacturing</t>
  </si>
  <si>
    <t>Electric  Generation Stations - Hydro Power  Stations</t>
  </si>
  <si>
    <t>Electric Lamp/T.V. Picture Tube Manufacturing</t>
  </si>
  <si>
    <t>Electronic Goods Manufacturing/Assembly</t>
  </si>
  <si>
    <t>Enamel-ware factories</t>
  </si>
  <si>
    <t>Electric Generation Stations- Biomass Power Stations</t>
  </si>
  <si>
    <t>Electric Generation Stations- Others</t>
  </si>
  <si>
    <t>Electric Generation Stations- Solar Power Stations</t>
  </si>
  <si>
    <t>Electric Generation Stations- Thermal Power Stations</t>
  </si>
  <si>
    <t>Electric Generation Stations- Windmill</t>
  </si>
  <si>
    <t>Electronic Software Parks/Electronic Software Development Units</t>
  </si>
  <si>
    <t>Engineering Workshop-Structural Steel Fabricators, Sheet Metal fabricators</t>
  </si>
  <si>
    <t>Engineering Workshop [Others], Motor Vehicle Garages</t>
  </si>
  <si>
    <t>Engineering Workshop- Clock/Watch Manufacturing</t>
  </si>
  <si>
    <t>Engineering Workshop- Steel Plants</t>
  </si>
  <si>
    <t>Engineering Workshop-Pipe Extruding, Stamping, Pressing, Forging Mills, Metal smelting, Foundries, Galvanising works</t>
  </si>
  <si>
    <t>Engineering Workshop-Metal Extraction, Ore processing (other than Aluminium, Copper, Zinc), Plant processing Raw sand into silica</t>
  </si>
  <si>
    <t>Exhibitions, Fetes, Mandaps</t>
  </si>
  <si>
    <t>Explosives / Blasting Factories</t>
  </si>
  <si>
    <t>Fertiliser Manufacturing [other than those rateable under Petrochemical Tariff]</t>
  </si>
  <si>
    <t>Filter and wax paper Manufacturing</t>
  </si>
  <si>
    <t>Fireworks Manufacturing</t>
  </si>
  <si>
    <t>Flax / Hemp Mills</t>
  </si>
  <si>
    <t>Flour Mills</t>
  </si>
  <si>
    <t>Foamed Plastics Manufacturing and / or converting plants</t>
  </si>
  <si>
    <t>Foam Rubber Manufacturing</t>
  </si>
  <si>
    <t>French Polish Manufacturing</t>
  </si>
  <si>
    <t>Fruit and vegetable drying/dehydrating factories</t>
  </si>
  <si>
    <t>Fruit products and Condiment Factories (including fruit pulp making)</t>
  </si>
  <si>
    <t>Garment Makers, Topee, Hats and the like makers</t>
  </si>
  <si>
    <t>Ghee Factories including vegetable Ghee mfg.</t>
  </si>
  <si>
    <t>Glass Fibre Manufacturing</t>
  </si>
  <si>
    <t>Glass wool Manufacturing</t>
  </si>
  <si>
    <t>Glass Manufacturing/Automobile Glass Manufacturing</t>
  </si>
  <si>
    <t>Gold thread factories / Gilding factories</t>
  </si>
  <si>
    <t>Grain/seeds disintegrating/crushing/ Decorticating factories/ Dal mills.</t>
  </si>
  <si>
    <t>Granite Factories (Others)</t>
  </si>
  <si>
    <t>Granite Factories using inflammable solvents</t>
  </si>
  <si>
    <t>Graphite electrode Manufacturing</t>
  </si>
  <si>
    <t>Grease / Wax Manufacturing</t>
  </si>
  <si>
    <t>Green Houses/ Algae/ Spirulina and the like</t>
  </si>
  <si>
    <t>Gum/Glue/Gelatine Manufacturing</t>
  </si>
  <si>
    <t>Gypsum board manufacturer</t>
  </si>
  <si>
    <t>Hoisery,lace, Embroidery/Thread factories</t>
  </si>
  <si>
    <t>Ice candy and Ice cream Manufacturing</t>
  </si>
  <si>
    <t>Ice factories</t>
  </si>
  <si>
    <t>Incandescent Gas mantle Manufacturing</t>
  </si>
  <si>
    <t>Industrial Diamonds Manufacturing</t>
  </si>
  <si>
    <t>Industrial Gas Manufacturing</t>
  </si>
  <si>
    <t>Ink (excluding printing ink) Manufacturing</t>
  </si>
  <si>
    <t>Jaggery Manufacturing</t>
  </si>
  <si>
    <t>Jute Mills</t>
  </si>
  <si>
    <t>Katha Manufacturing</t>
  </si>
  <si>
    <t>Khandsari Sugar Manufacturing</t>
  </si>
  <si>
    <t>Lac or Shellac Factories</t>
  </si>
  <si>
    <t>Leather Cloth Factories</t>
  </si>
  <si>
    <t>Leather Goods Manufacturing ( incl. boot/shoe)</t>
  </si>
  <si>
    <t>Lime Kiln</t>
  </si>
  <si>
    <t>Liquified Gas Bottling/ Recovery Plants</t>
  </si>
  <si>
    <t>Lithographic presses</t>
  </si>
  <si>
    <t>Malt Extraction Plants</t>
  </si>
  <si>
    <t>Man-made Fibre Manufacturing (using Cellulose)</t>
  </si>
  <si>
    <t>Man-made Fibre Manufacturing Plant (Others)</t>
  </si>
  <si>
    <t>Manure Blending works</t>
  </si>
  <si>
    <t>Match Factories</t>
  </si>
  <si>
    <t>Mattress and Pillow making</t>
  </si>
  <si>
    <t>Metal/Tin printers</t>
  </si>
  <si>
    <t>Metallising Works (others)</t>
  </si>
  <si>
    <t>Metallizing works ( involving metals only)</t>
  </si>
  <si>
    <t>Mica Products Manufacturing</t>
  </si>
  <si>
    <t>Mineral Oil blending and processing</t>
  </si>
  <si>
    <t>Mosaic Factories</t>
  </si>
  <si>
    <t>Multiplex Theatre Complexes</t>
  </si>
  <si>
    <t>Mushroom Growing Premises (Excluding Crops)</t>
  </si>
  <si>
    <t>Nitro Cellulose Manufacturing- Industrial Grade</t>
  </si>
  <si>
    <t>Non-woven fabric Manufacturing</t>
  </si>
  <si>
    <t>Oil and Leather Cloth Factories</t>
  </si>
  <si>
    <t>Oil Distillation Plants (essential)</t>
  </si>
  <si>
    <t>Oil Extraction</t>
  </si>
  <si>
    <t>Oil Mills refining ( Veg/Animal)</t>
  </si>
  <si>
    <t>Oil Mills (Vegetable)</t>
  </si>
  <si>
    <t>Paint factories (Water based)</t>
  </si>
  <si>
    <t>Paint (others) &amp; Varnish Factories</t>
  </si>
  <si>
    <t>Paints - Nitrocellulose based</t>
  </si>
  <si>
    <t>Pan Masala making</t>
  </si>
  <si>
    <t>Paper and Cardboard Mills (including Lamination)</t>
  </si>
  <si>
    <t>Particle Board Manufacturing</t>
  </si>
  <si>
    <t>Pencil Manufacturing</t>
  </si>
  <si>
    <t>Petroleum Coke Calcination</t>
  </si>
  <si>
    <t>Plastic Goods Manufacturing(excluding Foam Plastics)/I. Using Plastic raw materials having calorific value upto 15000 btu/lb Polytetrafluoroethylene, polyvinylidene chloride/fluoride, Phenol/Urea-formaldehyde, Silicones</t>
  </si>
  <si>
    <t>Plywood / Wood veneering Factories/ Laminating Factories</t>
  </si>
  <si>
    <t>Polyester Film Manufacturing / BOPP Film Manufacturing</t>
  </si>
  <si>
    <t>Port Premises including jetties and equipment thereon And other port facilities</t>
  </si>
  <si>
    <t>Poultry Farms (Excluding birds therein)</t>
  </si>
  <si>
    <t>Presses for carpets, rugs and tobacco</t>
  </si>
  <si>
    <t>Presses for coir fibres/waste/Grass/fodder/boosa/Jute</t>
  </si>
  <si>
    <t>Presses for coir yarn / cotton/senna leaves</t>
  </si>
  <si>
    <t>Presses for hides and skins</t>
  </si>
  <si>
    <t>Printing Ink Manufacturing / Roller composition factories</t>
  </si>
  <si>
    <t>Printing Press</t>
  </si>
  <si>
    <t>Pulverising Plants(Metals and non-hazardous goods)</t>
  </si>
  <si>
    <t>Pulverizing Plants (Others)</t>
  </si>
  <si>
    <t>Rice Mills</t>
  </si>
  <si>
    <t>Rice Polishing Units</t>
  </si>
  <si>
    <t>Rope works (Plastic), Assembling of Plastic Goods such as Toys and the like</t>
  </si>
  <si>
    <t>Rope Works (others)</t>
  </si>
  <si>
    <t>Rubber Factories</t>
  </si>
  <si>
    <t>Rubber Goods Mfg with Spreading</t>
  </si>
  <si>
    <t>Rubber Goods Manufacturing without spreading</t>
  </si>
  <si>
    <t>Salt crushing Factories and Refineries</t>
  </si>
  <si>
    <t>Saw Mills (including Timber Merchants premises where sawing is done).</t>
  </si>
  <si>
    <t>Sea Food / Meat Processing</t>
  </si>
  <si>
    <t>Silk Mills / Spun Silk Mills</t>
  </si>
  <si>
    <t>Shopping Malls (other than multiplexes)</t>
  </si>
  <si>
    <t>Snuff Manufacturing</t>
  </si>
  <si>
    <t>Soap Manufacturing</t>
  </si>
  <si>
    <t>Sponge Iron Plants</t>
  </si>
  <si>
    <t>Spray Painting, Powder coating</t>
  </si>
  <si>
    <t>Stables (excluding animals)</t>
  </si>
  <si>
    <t>Starch Factories</t>
  </si>
  <si>
    <t>Stone quarries</t>
  </si>
  <si>
    <t>Sugar factories</t>
  </si>
  <si>
    <t>Surgical Cotton Manufacturing</t>
  </si>
  <si>
    <t>Tanneries</t>
  </si>
  <si>
    <t>Tapioca factories</t>
  </si>
  <si>
    <t>Tarpaulin and canvas proofing factories</t>
  </si>
  <si>
    <t>Tea blending/packing factories</t>
  </si>
  <si>
    <t>Tea Factories</t>
  </si>
  <si>
    <t>Telephone Exchanges</t>
  </si>
  <si>
    <t>Textile Mills - Spinning Mills</t>
  </si>
  <si>
    <t>Textile Mills- Composite Mills</t>
  </si>
  <si>
    <t>Tile &amp; Pottery works</t>
  </si>
  <si>
    <t>Tiny sector Industries with values at risk not exceeding Rs 10 lakhs</t>
  </si>
  <si>
    <t>Tissue Culture Premises (Excluding Crops)</t>
  </si>
  <si>
    <t>Tobacco Curing / Redrying Factories</t>
  </si>
  <si>
    <t>Tobacco grinding/ crushing Manufacturing</t>
  </si>
  <si>
    <t>Turpentine and rosin distilleries</t>
  </si>
  <si>
    <t>Tyre Retreading and Resoling factories</t>
  </si>
  <si>
    <t>Tyres and Tubes Manufacturing</t>
  </si>
  <si>
    <t>Umbrella Assembly factories</t>
  </si>
  <si>
    <t>Velvet Cloth Manufacturing</t>
  </si>
  <si>
    <t>Vermicelli factories</t>
  </si>
  <si>
    <t>Weigh Bridges</t>
  </si>
  <si>
    <t>Weaving Mills</t>
  </si>
  <si>
    <t>Wheat Threshers</t>
  </si>
  <si>
    <t>Wood seasoning/treatment/ impregnation</t>
  </si>
  <si>
    <t>Wool cleaning and pressing factories</t>
  </si>
  <si>
    <t>Woollen Mills/Fur garments &amp; accessories</t>
  </si>
  <si>
    <t>Yarn Processing</t>
  </si>
  <si>
    <t>Zip fasteners Manufacturing</t>
  </si>
  <si>
    <t>Plastic Goods Manufacturing (excluding Foam Plastics)/ II. Using Plastic raw materials having calorific value of above 15000 btu/lb polyethylene, Polypropylene, Prolystyrene, Polyalphamethylstyrene, Acrylonitrilebutadiene-styrene, Polybutylene.</t>
  </si>
  <si>
    <t>V</t>
  </si>
  <si>
    <t>Analytical / Quality Control Laboratories</t>
  </si>
  <si>
    <t>Boiler House</t>
  </si>
  <si>
    <t>Dams</t>
  </si>
  <si>
    <t>Effluent /Sewage Treatment Plant</t>
  </si>
  <si>
    <t>Electric Sub-Stations, Loco sheds</t>
  </si>
  <si>
    <t>Electric Transmission / Distribution Lines</t>
  </si>
  <si>
    <t>Pipe lines (carrying water only)</t>
  </si>
  <si>
    <t>Pipe lines (others)</t>
  </si>
  <si>
    <t>Pump House (Water)</t>
  </si>
  <si>
    <t>Pump House (Others)</t>
  </si>
  <si>
    <t>Railway tracks</t>
  </si>
  <si>
    <t>Roads</t>
  </si>
  <si>
    <t>Water Treatment Plants/ Water Tanks</t>
  </si>
  <si>
    <t>Wireless Transmitting Stations</t>
  </si>
  <si>
    <t>Compressor Houses- Compressors handling air, Inert gas and CO2</t>
  </si>
  <si>
    <t>Compressor Houses- Compressor (others)</t>
  </si>
  <si>
    <t>Boundary Walls - Made up of Combustible Material</t>
  </si>
  <si>
    <t>Boundary Walls - Others</t>
  </si>
  <si>
    <t>Electric Crematoriums</t>
  </si>
  <si>
    <t>VI</t>
  </si>
  <si>
    <t>Storage of Non-hazardous goods(Godowns &amp; Silos) subject to warranty that hazardous goods of Category I, II, III , Coir waste, Coir fibre and Caddies are not stored therein.</t>
  </si>
  <si>
    <t>Storage of Category I hazardous Goods (Godowns &amp; Silos) subject to warranty that goods listed in Category II, III, Coir waste, Coir fibre and Caddies are not stored therein.</t>
  </si>
  <si>
    <t>Storage of Non-hazardous goods(open) subject to warranty that hazardous goods of Category I, II, III , Coir waste, Coir fibre and Caddies are not stored therein.</t>
  </si>
  <si>
    <t>Storage of Category I hazardous Goods(open) subject to warranty that goods listed in Category II, III, Coir waste, Coir fibre and Caddies are not stored therein.</t>
  </si>
  <si>
    <t>Storage of hazardous Goods listed in Category II(Godowns &amp; Silos) subject to warranty that goods listed in Category III, Coir waste, Coir fibre and Caddies are not stored therein.</t>
  </si>
  <si>
    <t>Storage of hazardous Goods listed in Category II(open) subject to warranty that goods listed in Category III, Coir waste, Coir fibre and Caddies are not stored therein.</t>
  </si>
  <si>
    <t>Storage of hazardous Goods listed in Category III (open) subject to warranty that Coir waste, Coir fibre and , Caddies are not stored therein.</t>
  </si>
  <si>
    <t>Storage of hazardous Goods listed in Category III(Godowns &amp; Silos) subject to warranty that Coir waste, Coir fibre and , Caddies are not stored therein.</t>
  </si>
  <si>
    <t>Transporter’s godowns (Godowns &amp; Silos)&amp; Godowns of clearing and forwarding agents.</t>
  </si>
  <si>
    <t>Transporter’s godowns(open) &amp; Godowns of clearing and forwarding agents.</t>
  </si>
  <si>
    <t>Storage of Coir Waste(Godowns &amp; Silos) ,Coir Fibre, Caddies</t>
  </si>
  <si>
    <t>Cold Storage premises</t>
  </si>
  <si>
    <t>Storage of Coir Waste(open) ,Coir Fibre, Caddies</t>
  </si>
  <si>
    <t>Bus Terminus</t>
  </si>
  <si>
    <t>Vehicles stored in open including Tractors</t>
  </si>
  <si>
    <t>VII</t>
  </si>
  <si>
    <t>Gas Holders/ Bullets/spheres and storages for liquified gases except for Nitrogen, Carbon dioxide and inert gases</t>
  </si>
  <si>
    <t>Gas Holders/ Vessels for Nitrogen, Carbon dioxide and inert gases</t>
  </si>
  <si>
    <t>Tanks containing liquids flashing at 32 0C and below</t>
  </si>
  <si>
    <t>Tanks (others)</t>
  </si>
  <si>
    <t>IV/V</t>
  </si>
  <si>
    <t>Silent risk</t>
  </si>
  <si>
    <t>Select EQ Zone</t>
  </si>
  <si>
    <t>Description</t>
  </si>
  <si>
    <t>Sum Insured</t>
  </si>
  <si>
    <t>Building</t>
  </si>
  <si>
    <t>P&amp;M</t>
  </si>
  <si>
    <t>FFF</t>
  </si>
  <si>
    <t>Stocks</t>
  </si>
  <si>
    <t>Others</t>
  </si>
  <si>
    <t>Total</t>
  </si>
  <si>
    <t>If Kutcha</t>
  </si>
  <si>
    <t>If Kutcha Construction</t>
  </si>
  <si>
    <t>Total Rate</t>
  </si>
  <si>
    <t>Policy Rate</t>
  </si>
  <si>
    <t>Pucca</t>
  </si>
  <si>
    <t>Kutcha</t>
  </si>
  <si>
    <t>Whether Feature Disc/Loading to be taken</t>
  </si>
  <si>
    <t xml:space="preserve">Basic Rate </t>
  </si>
  <si>
    <t>Premium</t>
  </si>
  <si>
    <t>GST</t>
  </si>
  <si>
    <t>Total Premium</t>
  </si>
  <si>
    <t>NOT APPLICABLE</t>
  </si>
  <si>
    <t>Y</t>
  </si>
  <si>
    <t>N</t>
  </si>
  <si>
    <t>Floater Rate</t>
  </si>
  <si>
    <t>Basic Rate</t>
  </si>
  <si>
    <t>EQ</t>
  </si>
  <si>
    <t>STFI</t>
  </si>
  <si>
    <t>Terrorism</t>
  </si>
  <si>
    <t>Feature Discount/Loading</t>
  </si>
  <si>
    <t>Rate after Discount</t>
  </si>
  <si>
    <t>If Floater Applicable</t>
  </si>
  <si>
    <t>Product Type</t>
  </si>
  <si>
    <t>Whether Terrorism Opted</t>
  </si>
  <si>
    <t>THIS OPTION ONLY APPLICABLE TO FLEXI BS &amp; FLEXI BL</t>
  </si>
  <si>
    <t>&gt;100&lt;=200</t>
  </si>
  <si>
    <t>BSUS</t>
  </si>
  <si>
    <t>BLUS</t>
  </si>
  <si>
    <t>Not Applicable</t>
  </si>
  <si>
    <t>Flexi_BS</t>
  </si>
  <si>
    <t>Flexi_BL</t>
  </si>
  <si>
    <t>&lt;30</t>
  </si>
  <si>
    <t>&gt;=30&lt;=70</t>
  </si>
  <si>
    <t>&gt;70&lt;=100</t>
  </si>
  <si>
    <t>&gt;200</t>
  </si>
  <si>
    <t>&lt;=70</t>
  </si>
  <si>
    <t>One</t>
  </si>
  <si>
    <t>Three</t>
  </si>
  <si>
    <t>Four</t>
  </si>
  <si>
    <t>Two</t>
  </si>
  <si>
    <t>Zone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</si>
</sst>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05">
    <xf numFmtId="0" fontId="0" fillId="0" borderId="0" xfId="0"/>
    <xf numFmtId="0" fontId="1" fillId="0" borderId="11" xfId="0" applyFont="1" applyBorder="1" applyAlignment="1">
      <alignment horizontal="left"/>
    </xf>
    <xf numFmtId="0" fontId="2" fillId="4" borderId="18" xfId="0" applyFont="1" applyFill="1" applyBorder="1" applyAlignment="1">
      <alignment vertical="center"/>
    </xf>
    <xf numFmtId="0" fontId="1" fillId="0" borderId="26" xfId="0" applyFont="1" applyBorder="1"/>
    <xf numFmtId="0" fontId="4" fillId="2" borderId="0" xfId="0" applyFont="1" applyFill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4" borderId="21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2" fillId="4" borderId="28" xfId="0" applyFont="1" applyFill="1" applyBorder="1" applyAlignment="1">
      <alignment vertical="center"/>
    </xf>
    <xf numFmtId="0" fontId="1" fillId="0" borderId="26" xfId="0" applyFont="1" applyBorder="1" applyAlignment="1" applyProtection="1">
      <alignment horizontal="right"/>
      <protection locked="0"/>
    </xf>
    <xf numFmtId="0" fontId="0" fillId="0" borderId="2" xfId="0" applyBorder="1"/>
    <xf numFmtId="0" fontId="0" fillId="0" borderId="38" xfId="0" applyBorder="1"/>
    <xf numFmtId="0" fontId="0" fillId="0" borderId="2" xfId="0" applyBorder="1" applyAlignment="1">
      <alignment horizontal="left"/>
    </xf>
    <xf numFmtId="0" fontId="3" fillId="9" borderId="0" xfId="0" applyFont="1" applyFill="1"/>
    <xf numFmtId="0" fontId="5" fillId="2" borderId="0" xfId="0" applyFont="1" applyFill="1" applyAlignment="1" applyProtection="1">
      <alignment wrapText="1"/>
      <protection hidden="1"/>
    </xf>
    <xf numFmtId="0" fontId="4" fillId="10" borderId="0" xfId="0" applyFont="1" applyFill="1" applyAlignment="1" applyProtection="1">
      <alignment wrapText="1"/>
      <protection hidden="1"/>
    </xf>
    <xf numFmtId="0" fontId="3" fillId="2" borderId="0" xfId="0" applyFont="1" applyFill="1" applyAlignment="1" applyProtection="1">
      <alignment wrapText="1"/>
      <protection hidden="1"/>
    </xf>
    <xf numFmtId="0" fontId="3" fillId="9" borderId="0" xfId="0" applyFont="1" applyFill="1" applyProtection="1">
      <protection hidden="1"/>
    </xf>
    <xf numFmtId="164" fontId="3" fillId="9" borderId="0" xfId="0" applyNumberFormat="1" applyFont="1" applyFill="1" applyProtection="1">
      <protection hidden="1"/>
    </xf>
    <xf numFmtId="0" fontId="3" fillId="0" borderId="0" xfId="0" applyFont="1" applyAlignment="1" applyProtection="1">
      <alignment wrapText="1"/>
      <protection hidden="1"/>
    </xf>
    <xf numFmtId="2" fontId="1" fillId="0" borderId="11" xfId="0" applyNumberFormat="1" applyFont="1" applyBorder="1"/>
    <xf numFmtId="2" fontId="1" fillId="0" borderId="14" xfId="0" applyNumberFormat="1" applyFont="1" applyBorder="1"/>
    <xf numFmtId="0" fontId="0" fillId="0" borderId="0" xfId="0" applyAlignment="1">
      <alignment wrapText="1"/>
    </xf>
    <xf numFmtId="0" fontId="6" fillId="2" borderId="1" xfId="0" applyFont="1" applyFill="1" applyBorder="1" applyAlignment="1" applyProtection="1">
      <alignment wrapText="1"/>
      <protection hidden="1"/>
    </xf>
    <xf numFmtId="0" fontId="7" fillId="2" borderId="1" xfId="0" applyFont="1" applyFill="1" applyBorder="1" applyAlignment="1" applyProtection="1">
      <alignment wrapText="1"/>
      <protection hidden="1"/>
    </xf>
    <xf numFmtId="0" fontId="7" fillId="2" borderId="15" xfId="0" applyFont="1" applyFill="1" applyBorder="1" applyAlignment="1" applyProtection="1">
      <alignment wrapText="1"/>
      <protection hidden="1"/>
    </xf>
    <xf numFmtId="0" fontId="0" fillId="2" borderId="0" xfId="0" applyFill="1"/>
    <xf numFmtId="0" fontId="0" fillId="2" borderId="1" xfId="0" applyFill="1" applyBorder="1" applyProtection="1">
      <protection hidden="1"/>
    </xf>
    <xf numFmtId="0" fontId="0" fillId="2" borderId="15" xfId="0" applyFill="1" applyBorder="1" applyAlignment="1" applyProtection="1">
      <alignment wrapText="1"/>
      <protection hidden="1"/>
    </xf>
    <xf numFmtId="0" fontId="0" fillId="0" borderId="1" xfId="0" applyBorder="1" applyProtection="1">
      <protection hidden="1"/>
    </xf>
    <xf numFmtId="0" fontId="0" fillId="0" borderId="15" xfId="0" applyBorder="1" applyAlignment="1" applyProtection="1">
      <alignment wrapText="1"/>
      <protection hidden="1"/>
    </xf>
    <xf numFmtId="0" fontId="0" fillId="4" borderId="10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0" fillId="7" borderId="10" xfId="0" applyFill="1" applyBorder="1" applyAlignment="1" applyProtection="1">
      <alignment horizontal="left"/>
      <protection locked="0"/>
    </xf>
    <xf numFmtId="0" fontId="0" fillId="7" borderId="2" xfId="0" applyFill="1" applyBorder="1" applyAlignment="1" applyProtection="1">
      <alignment horizontal="left"/>
      <protection locked="0"/>
    </xf>
    <xf numFmtId="0" fontId="0" fillId="7" borderId="11" xfId="0" applyFill="1" applyBorder="1" applyAlignment="1" applyProtection="1">
      <alignment horizontal="left"/>
      <protection locked="0"/>
    </xf>
    <xf numFmtId="0" fontId="0" fillId="7" borderId="12" xfId="0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 applyProtection="1">
      <alignment horizontal="left" vertical="center"/>
      <protection locked="0"/>
    </xf>
    <xf numFmtId="0" fontId="0" fillId="0" borderId="14" xfId="0" applyBorder="1" applyAlignment="1">
      <alignment horizontal="left" wrapText="1"/>
    </xf>
    <xf numFmtId="0" fontId="0" fillId="5" borderId="4" xfId="0" applyFill="1" applyBorder="1" applyProtection="1">
      <protection locked="0"/>
    </xf>
    <xf numFmtId="0" fontId="0" fillId="7" borderId="4" xfId="0" applyFill="1" applyBorder="1" applyProtection="1">
      <protection locked="0"/>
    </xf>
    <xf numFmtId="0" fontId="0" fillId="0" borderId="20" xfId="0" applyBorder="1" applyAlignment="1">
      <alignment wrapText="1"/>
    </xf>
    <xf numFmtId="0" fontId="0" fillId="0" borderId="21" xfId="0" applyBorder="1"/>
    <xf numFmtId="0" fontId="0" fillId="0" borderId="22" xfId="0" quotePrefix="1" applyBorder="1" applyAlignment="1">
      <alignment horizontal="center"/>
    </xf>
    <xf numFmtId="0" fontId="8" fillId="3" borderId="7" xfId="0" applyFont="1" applyFill="1" applyBorder="1" applyAlignment="1">
      <alignment wrapText="1"/>
    </xf>
    <xf numFmtId="0" fontId="0" fillId="2" borderId="8" xfId="0" applyFill="1" applyBorder="1" applyProtection="1">
      <protection locked="0"/>
    </xf>
    <xf numFmtId="0" fontId="0" fillId="0" borderId="9" xfId="0" applyBorder="1" applyAlignment="1">
      <alignment horizontal="center"/>
    </xf>
    <xf numFmtId="0" fontId="8" fillId="3" borderId="10" xfId="0" applyFont="1" applyFill="1" applyBorder="1" applyAlignment="1">
      <alignment wrapText="1"/>
    </xf>
    <xf numFmtId="0" fontId="0" fillId="0" borderId="11" xfId="0" applyBorder="1" applyAlignment="1">
      <alignment horizontal="center"/>
    </xf>
    <xf numFmtId="0" fontId="0" fillId="2" borderId="2" xfId="0" applyFill="1" applyBorder="1" applyProtection="1">
      <protection locked="0"/>
    </xf>
    <xf numFmtId="0" fontId="8" fillId="3" borderId="17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0" fillId="0" borderId="36" xfId="0" applyBorder="1" applyAlignment="1" applyProtection="1">
      <alignment horizontal="center"/>
      <protection locked="0"/>
    </xf>
    <xf numFmtId="0" fontId="0" fillId="11" borderId="2" xfId="0" applyFill="1" applyBorder="1" applyAlignment="1">
      <alignment wrapText="1"/>
    </xf>
    <xf numFmtId="0" fontId="8" fillId="3" borderId="37" xfId="0" applyFont="1" applyFill="1" applyBorder="1" applyAlignment="1">
      <alignment wrapText="1"/>
    </xf>
    <xf numFmtId="0" fontId="0" fillId="2" borderId="31" xfId="0" applyFill="1" applyBorder="1" applyProtection="1">
      <protection locked="0"/>
    </xf>
    <xf numFmtId="0" fontId="8" fillId="3" borderId="12" xfId="0" applyFont="1" applyFill="1" applyBorder="1" applyAlignment="1">
      <alignment wrapText="1"/>
    </xf>
    <xf numFmtId="0" fontId="0" fillId="2" borderId="32" xfId="0" applyFill="1" applyBorder="1" applyProtection="1">
      <protection locked="0"/>
    </xf>
    <xf numFmtId="0" fontId="0" fillId="0" borderId="33" xfId="0" applyBorder="1" applyAlignment="1">
      <alignment horizontal="center"/>
    </xf>
    <xf numFmtId="0" fontId="0" fillId="0" borderId="2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9" xfId="0" applyBorder="1"/>
    <xf numFmtId="0" fontId="0" fillId="0" borderId="26" xfId="0" applyBorder="1" applyAlignment="1">
      <alignment wrapText="1"/>
    </xf>
    <xf numFmtId="0" fontId="0" fillId="0" borderId="26" xfId="0" applyBorder="1"/>
    <xf numFmtId="2" fontId="0" fillId="0" borderId="11" xfId="0" applyNumberFormat="1" applyBorder="1"/>
    <xf numFmtId="0" fontId="9" fillId="0" borderId="1" xfId="0" applyFont="1" applyBorder="1"/>
    <xf numFmtId="0" fontId="1" fillId="0" borderId="1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2" borderId="34" xfId="0" applyFill="1" applyBorder="1" applyAlignment="1" applyProtection="1">
      <alignment horizontal="center"/>
      <protection locked="0"/>
    </xf>
    <xf numFmtId="0" fontId="0" fillId="2" borderId="35" xfId="0" applyFill="1" applyBorder="1" applyAlignment="1" applyProtection="1">
      <alignment horizontal="center"/>
      <protection locked="0"/>
    </xf>
    <xf numFmtId="0" fontId="0" fillId="8" borderId="10" xfId="0" applyFill="1" applyBorder="1" applyAlignment="1" applyProtection="1">
      <alignment horizontal="center"/>
      <protection locked="0"/>
    </xf>
    <xf numFmtId="0" fontId="0" fillId="8" borderId="11" xfId="0" applyFill="1" applyBorder="1" applyAlignment="1" applyProtection="1">
      <alignment horizontal="center"/>
      <protection locked="0"/>
    </xf>
    <xf numFmtId="0" fontId="0" fillId="8" borderId="12" xfId="0" applyFill="1" applyBorder="1" applyAlignment="1" applyProtection="1">
      <alignment horizontal="center"/>
      <protection locked="0"/>
    </xf>
    <xf numFmtId="0" fontId="0" fillId="8" borderId="14" xfId="0" applyFill="1" applyBorder="1" applyAlignment="1" applyProtection="1">
      <alignment horizontal="center"/>
      <protection locked="0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4" borderId="3" xfId="0" applyFill="1" applyBorder="1" applyAlignment="1">
      <alignment horizontal="left" wrapText="1"/>
    </xf>
    <xf numFmtId="0" fontId="0" fillId="4" borderId="16" xfId="0" applyFill="1" applyBorder="1" applyAlignment="1">
      <alignment horizontal="left" wrapText="1"/>
    </xf>
    <xf numFmtId="0" fontId="0" fillId="4" borderId="3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8" borderId="29" xfId="0" applyFill="1" applyBorder="1" applyAlignment="1" applyProtection="1">
      <alignment horizontal="center"/>
      <protection locked="0"/>
    </xf>
    <xf numFmtId="0" fontId="0" fillId="8" borderId="30" xfId="0" applyFill="1" applyBorder="1" applyAlignment="1" applyProtection="1">
      <alignment horizontal="center"/>
      <protection locked="0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6" borderId="3" xfId="0" applyFont="1" applyFill="1" applyBorder="1" applyAlignment="1" applyProtection="1">
      <alignment horizontal="center" vertical="center"/>
      <protection locked="0"/>
    </xf>
    <xf numFmtId="0" fontId="2" fillId="6" borderId="4" xfId="0" applyFont="1" applyFill="1" applyBorder="1" applyAlignment="1" applyProtection="1">
      <alignment horizontal="center" vertical="center"/>
      <protection locked="0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11" borderId="3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=C:\WINNT\SYSTEM32\COMMAND.COM" xfId="1" xr:uid="{20642008-365C-4E8D-8553-29F2B44149A5}"/>
    <cellStyle name="Normal" xfId="0" builtinId="0"/>
  </cellStyles>
  <dxfs count="25">
    <dxf>
      <font>
        <b/>
        <i val="0"/>
      </font>
      <fill>
        <gradientFill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ont>
        <b/>
        <i val="0"/>
      </font>
      <fill>
        <gradientFill>
          <stop position="0">
            <color theme="6" tint="0.80001220740379042"/>
          </stop>
          <stop position="1">
            <color theme="5" tint="0.80001220740379042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 patternType="gray0625">
          <fgColor rgb="FFFF0000"/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lightGrid">
          <fgColor theme="6" tint="0.79995117038483843"/>
          <bgColor theme="0" tint="-4.9989318521683403E-2"/>
        </patternFill>
      </fill>
    </dxf>
    <dxf>
      <font>
        <b/>
        <i val="0"/>
      </font>
      <fill>
        <gradientFill>
          <stop position="0">
            <color theme="6" tint="0.80001220740379042"/>
          </stop>
          <stop position="1">
            <color theme="5" tint="0.80001220740379042"/>
          </stop>
        </gradientFill>
      </fill>
    </dxf>
    <dxf>
      <font>
        <b/>
        <i val="0"/>
      </font>
      <fill>
        <patternFill patternType="gray125">
          <bgColor rgb="FFFFC7CE"/>
        </patternFill>
      </fill>
    </dxf>
    <dxf>
      <fill>
        <patternFill patternType="gray125"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 patternType="gray125">
          <bgColor theme="5" tint="0.79998168889431442"/>
        </patternFill>
      </fill>
    </dxf>
    <dxf>
      <fill>
        <patternFill patternType="gray125">
          <bgColor theme="5" tint="0.79998168889431442"/>
        </patternFill>
      </fill>
    </dxf>
    <dxf>
      <fill>
        <patternFill patternType="gray125">
          <bgColor rgb="FFFF6699"/>
        </patternFill>
      </fill>
    </dxf>
    <dxf>
      <font>
        <b/>
        <i/>
      </font>
      <fill>
        <gradientFill degree="270">
          <stop position="0">
            <color theme="0"/>
          </stop>
          <stop position="1">
            <color rgb="FFDBFD0F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 patternType="gray125">
          <bgColor rgb="FFFFC7CE"/>
        </patternFill>
      </fill>
    </dxf>
    <dxf>
      <font>
        <b/>
        <i val="0"/>
      </font>
      <fill>
        <patternFill patternType="gray0625">
          <fgColor rgb="FFFF7C8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</dxf>
    <dxf>
      <fill>
        <patternFill patternType="none">
          <bgColor auto="1"/>
        </patternFill>
      </fill>
    </dxf>
    <dxf>
      <font>
        <color auto="1"/>
      </font>
    </dxf>
    <dxf>
      <font>
        <b/>
        <i val="0"/>
      </font>
      <fill>
        <gradientFill>
          <stop position="0">
            <color theme="6" tint="0.80001220740379042"/>
          </stop>
          <stop position="1">
            <color theme="5" tint="0.80001220740379042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gray125">
          <bgColor theme="5" tint="0.79998168889431442"/>
        </patternFill>
      </fill>
    </dxf>
    <dxf>
      <fill>
        <gradientFill degree="90">
          <stop position="0">
            <color theme="0"/>
          </stop>
          <stop position="0.5">
            <color theme="3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3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3" tint="0.80001220740379042"/>
          </stop>
          <stop position="1">
            <color theme="0"/>
          </stop>
        </gradient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ill>
        <gradientFill degree="90">
          <stop position="0">
            <color theme="0"/>
          </stop>
          <stop position="0.5">
            <color theme="3" tint="0.80001220740379042"/>
          </stop>
          <stop position="1">
            <color theme="0"/>
          </stop>
        </gradientFill>
      </fill>
    </dxf>
  </dxfs>
  <tableStyles count="0" defaultTableStyle="TableStyleMedium2" defaultPivotStyle="PivotStyleMedium9"/>
  <colors>
    <mruColors>
      <color rgb="FFCC6600"/>
      <color rgb="FFCC9900"/>
      <color rgb="FFFF9900"/>
      <color rgb="FF996600"/>
      <color rgb="FFCC3300"/>
      <color rgb="FFDBFD0F"/>
      <color rgb="FFFFFF99"/>
      <color rgb="FFD7FF0D"/>
      <color rgb="FFFF7C8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36636\Desktop\EDITABLE%20-%20Premium%20Calculator%20for%20Sookshma%20and%20Laghu%20Policies.xlsx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A"/>
      <sheetName val="BSUS"/>
      <sheetName val="IIB_Occupancy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A287"/>
  <sheetViews>
    <sheetView tabSelected="1" topLeftCell="B29" zoomScaleNormal="100" workbookViewId="0">
      <selection activeCell="C30" sqref="C30:D30"/>
    </sheetView>
  </sheetViews>
  <sheetFormatPr defaultColWidth="9.109375" defaultRowHeight="14.4" x14ac:dyDescent="0.3"/>
  <cols>
    <col min="2" max="2" width="36.44140625" customWidth="1"/>
    <col min="3" max="3" width="13" customWidth="1"/>
    <col min="4" max="4" width="49.44140625" customWidth="1"/>
    <col min="5" max="5" width="15.6640625" bestFit="1" customWidth="1"/>
    <col min="6" max="6" width="9.109375" hidden="1" customWidth="1"/>
    <col min="7" max="10" width="9.109375" customWidth="1"/>
    <col min="11" max="11" width="57.33203125" style="25" customWidth="1"/>
    <col min="12" max="12" width="11.5546875" style="8" customWidth="1"/>
    <col min="13" max="21" width="9.109375" style="16" customWidth="1"/>
    <col min="22" max="22" width="9.6640625" style="16" customWidth="1"/>
    <col min="23" max="23" width="9.109375" style="16" customWidth="1"/>
    <col min="24" max="24" width="8" style="16" customWidth="1"/>
    <col min="25" max="25" width="12.33203125" style="16" customWidth="1"/>
    <col min="26" max="27" width="9.109375" style="16" customWidth="1"/>
  </cols>
  <sheetData>
    <row r="1" spans="2:27" ht="37.5" customHeight="1" thickBot="1" x14ac:dyDescent="0.35">
      <c r="V1" s="78" t="s">
        <v>335</v>
      </c>
      <c r="W1" s="78"/>
      <c r="X1" s="78"/>
      <c r="Y1" s="78" t="s">
        <v>336</v>
      </c>
      <c r="Z1" s="78"/>
      <c r="AA1" s="78"/>
    </row>
    <row r="2" spans="2:27" ht="63" customHeight="1" thickBot="1" x14ac:dyDescent="0.35">
      <c r="B2" s="2" t="s">
        <v>15</v>
      </c>
      <c r="C2" s="95">
        <v>4002</v>
      </c>
      <c r="D2" s="96"/>
      <c r="E2" t="str">
        <f>VLOOKUP(C2,I2:M287,4,0)</f>
        <v>One</v>
      </c>
      <c r="I2" s="26" t="s">
        <v>16</v>
      </c>
      <c r="J2" s="27" t="s">
        <v>17</v>
      </c>
      <c r="K2" s="28" t="s">
        <v>18</v>
      </c>
      <c r="L2" s="17"/>
      <c r="M2" s="18" t="s">
        <v>19</v>
      </c>
      <c r="N2" s="18" t="s">
        <v>20</v>
      </c>
      <c r="O2" s="18" t="s">
        <v>21</v>
      </c>
      <c r="P2" s="18" t="s">
        <v>22</v>
      </c>
      <c r="Q2" s="18" t="s">
        <v>23</v>
      </c>
      <c r="R2" s="18" t="s">
        <v>24</v>
      </c>
      <c r="S2" s="18" t="s">
        <v>25</v>
      </c>
      <c r="T2" s="18" t="s">
        <v>26</v>
      </c>
      <c r="U2" s="18" t="s">
        <v>331</v>
      </c>
      <c r="V2" s="18" t="s">
        <v>338</v>
      </c>
      <c r="W2" s="18" t="s">
        <v>333</v>
      </c>
      <c r="X2" s="18" t="s">
        <v>334</v>
      </c>
      <c r="Y2" s="18" t="s">
        <v>346</v>
      </c>
      <c r="Z2" s="18" t="s">
        <v>333</v>
      </c>
      <c r="AA2" s="18" t="s">
        <v>334</v>
      </c>
    </row>
    <row r="3" spans="2:27" ht="66.75" customHeight="1" thickBot="1" x14ac:dyDescent="0.35">
      <c r="B3" s="2" t="s">
        <v>323</v>
      </c>
      <c r="C3" s="93" t="str">
        <f>IF( COUNTIF(I3:I287,C2),VLOOKUP(C2,I3:K287,3,0),"Occupany Doesn’t Exist")</f>
        <v>Storage of Category I hazardous Goods (Godowns &amp; Silos) subject to warranty that goods listed in Category II, III, Coir waste, Coir fibre and Caddies are not stored therein.</v>
      </c>
      <c r="D3" s="94"/>
      <c r="E3" s="29">
        <v>4</v>
      </c>
      <c r="F3" s="29"/>
      <c r="G3" s="29"/>
      <c r="H3" s="29"/>
      <c r="I3" s="30">
        <v>1002</v>
      </c>
      <c r="J3" s="30" t="s">
        <v>27</v>
      </c>
      <c r="K3" s="31" t="s">
        <v>28</v>
      </c>
      <c r="L3" s="19" t="s">
        <v>367</v>
      </c>
      <c r="M3" s="20">
        <v>1</v>
      </c>
      <c r="N3" s="20">
        <v>0.14000000000000001</v>
      </c>
      <c r="O3" s="20">
        <f t="shared" ref="O3:O62" si="0">IF(M3=1,(N3-(N3*0.25)),IF(M3=2,(N3-(N3*0.1)),IF(M3=3,(N3+(N3*0.25)),IF(M3=4,(N3+(N3*1.6)),0))))</f>
        <v>0.10500000000000001</v>
      </c>
      <c r="P3" s="20">
        <f t="shared" ref="P3:P62" si="1">IF(J3="III",0.15,IF(J3="IV",0.25,IF(J3="V",0.25,IF(J3="VII",0.25,0))))</f>
        <v>0.15</v>
      </c>
      <c r="Q3" s="20">
        <f t="shared" ref="Q3:Q62" si="2">IF(M3=1,(P3-(P3*0.25)),IF(M3=2,(P3-(P3*0.1)),IF(M3=3,(P3+(P3*0.25)),IF(M3=4,(P3+(P3*1.6)),0))))</f>
        <v>0.11249999999999999</v>
      </c>
      <c r="R3" s="20">
        <f t="shared" ref="R3:R62" si="3">IF(J3="III",(IF($C$4="Zone 1",0.25,IF($C$4="Zone 2",0.15,(IF($C$4="Zone 3",0.1,0.05))))), (IF($C$4="Zone 1",0.5,IF($C$4="Zone 2",0.25,(IF($C$4="Zone 3",0.1,0.05))))))</f>
        <v>0.15</v>
      </c>
      <c r="S3" s="20">
        <f t="shared" ref="S3:S62" si="4">IF(M3=1,(R3-(R3*0.25)),IF(M3=2,(R3-(R3*0.1)),IF(M3=3,(R3+(R3*0.25)),IF(M3=4,(R3+(R3*1.6)),0))))</f>
        <v>0.11249999999999999</v>
      </c>
      <c r="T3" s="20">
        <f t="shared" ref="T3:T62" si="5">IF(J3="III",0.15,0.23)</f>
        <v>0.15</v>
      </c>
      <c r="U3" s="20">
        <f>O3+4</f>
        <v>4.1050000000000004</v>
      </c>
      <c r="V3" s="21">
        <f t="shared" ref="V3:V35" si="6">IF($D$17="Y",O3+($C$29*O3/100),O3)</f>
        <v>5.2499999999999998E-2</v>
      </c>
      <c r="W3" s="21">
        <f t="shared" ref="W3:W62" si="7">V3+T3+S3+Q3</f>
        <v>0.42749999999999994</v>
      </c>
      <c r="X3" s="21">
        <f t="shared" ref="X3:X35" si="8">IF($C$30&gt;0,W3*(100-$C$30)/100,W3)</f>
        <v>0.38474999999999993</v>
      </c>
      <c r="Y3" s="20">
        <f t="shared" ref="Y3:Y35" si="9">IF($D$17="Y",U3+($C$29*U3/100),U3)</f>
        <v>2.0525000000000002</v>
      </c>
      <c r="Z3" s="20">
        <f t="shared" ref="Z3:Z62" si="10">Y3+Q3+S3+T3</f>
        <v>2.4274999999999998</v>
      </c>
      <c r="AA3" s="20">
        <f t="shared" ref="AA3:AA35" si="11">IF($C$30&gt;0,Z3*(100-$C$30)/100,Z3)</f>
        <v>2.1847499999999997</v>
      </c>
    </row>
    <row r="4" spans="2:27" ht="18.75" customHeight="1" x14ac:dyDescent="0.3">
      <c r="B4" s="9" t="s">
        <v>322</v>
      </c>
      <c r="C4" s="91" t="s">
        <v>371</v>
      </c>
      <c r="D4" s="92"/>
      <c r="I4" s="30">
        <v>1003</v>
      </c>
      <c r="J4" s="30" t="s">
        <v>27</v>
      </c>
      <c r="K4" s="31" t="s">
        <v>29</v>
      </c>
      <c r="L4" s="19" t="s">
        <v>367</v>
      </c>
      <c r="M4" s="20">
        <v>1</v>
      </c>
      <c r="N4" s="20">
        <v>0.21</v>
      </c>
      <c r="O4" s="20">
        <f t="shared" si="0"/>
        <v>0.1575</v>
      </c>
      <c r="P4" s="20">
        <f t="shared" si="1"/>
        <v>0.15</v>
      </c>
      <c r="Q4" s="20">
        <f t="shared" si="2"/>
        <v>0.11249999999999999</v>
      </c>
      <c r="R4" s="20">
        <f t="shared" si="3"/>
        <v>0.15</v>
      </c>
      <c r="S4" s="20">
        <f t="shared" si="4"/>
        <v>0.11249999999999999</v>
      </c>
      <c r="T4" s="20">
        <f t="shared" si="5"/>
        <v>0.15</v>
      </c>
      <c r="U4" s="20">
        <f t="shared" ref="U4:U63" si="12">O4+4</f>
        <v>4.1574999999999998</v>
      </c>
      <c r="V4" s="21">
        <f t="shared" si="6"/>
        <v>7.8750000000000001E-2</v>
      </c>
      <c r="W4" s="21">
        <f t="shared" si="7"/>
        <v>0.45374999999999999</v>
      </c>
      <c r="X4" s="21">
        <f t="shared" si="8"/>
        <v>0.40837499999999999</v>
      </c>
      <c r="Y4" s="20">
        <f t="shared" si="9"/>
        <v>2.0787499999999999</v>
      </c>
      <c r="Z4" s="20">
        <f t="shared" si="10"/>
        <v>2.4537499999999994</v>
      </c>
      <c r="AA4" s="20">
        <f t="shared" si="11"/>
        <v>2.2083749999999993</v>
      </c>
    </row>
    <row r="5" spans="2:27" ht="18" x14ac:dyDescent="0.3">
      <c r="B5" s="10" t="s">
        <v>353</v>
      </c>
      <c r="C5" s="81" t="s">
        <v>360</v>
      </c>
      <c r="D5" s="82"/>
      <c r="I5" s="30">
        <v>1004</v>
      </c>
      <c r="J5" s="30" t="s">
        <v>27</v>
      </c>
      <c r="K5" s="31" t="s">
        <v>30</v>
      </c>
      <c r="L5" s="19" t="s">
        <v>367</v>
      </c>
      <c r="M5" s="20">
        <v>1</v>
      </c>
      <c r="N5" s="20">
        <v>0.25</v>
      </c>
      <c r="O5" s="20">
        <f t="shared" si="0"/>
        <v>0.1875</v>
      </c>
      <c r="P5" s="20">
        <f t="shared" si="1"/>
        <v>0.15</v>
      </c>
      <c r="Q5" s="20">
        <f t="shared" si="2"/>
        <v>0.11249999999999999</v>
      </c>
      <c r="R5" s="20">
        <f t="shared" si="3"/>
        <v>0.15</v>
      </c>
      <c r="S5" s="20">
        <f t="shared" si="4"/>
        <v>0.11249999999999999</v>
      </c>
      <c r="T5" s="20">
        <f t="shared" si="5"/>
        <v>0.15</v>
      </c>
      <c r="U5" s="20">
        <f t="shared" si="12"/>
        <v>4.1875</v>
      </c>
      <c r="V5" s="21">
        <f t="shared" si="6"/>
        <v>9.375E-2</v>
      </c>
      <c r="W5" s="21">
        <f t="shared" si="7"/>
        <v>0.46874999999999994</v>
      </c>
      <c r="X5" s="21">
        <f t="shared" si="8"/>
        <v>0.42187499999999994</v>
      </c>
      <c r="Y5" s="20">
        <f t="shared" si="9"/>
        <v>2.09375</v>
      </c>
      <c r="Z5" s="20">
        <f t="shared" si="10"/>
        <v>2.4687499999999996</v>
      </c>
      <c r="AA5" s="20">
        <f t="shared" si="11"/>
        <v>2.2218749999999998</v>
      </c>
    </row>
    <row r="6" spans="2:27" ht="20.100000000000001" customHeight="1" thickBot="1" x14ac:dyDescent="0.35">
      <c r="B6" s="11" t="s">
        <v>354</v>
      </c>
      <c r="C6" s="83" t="s">
        <v>344</v>
      </c>
      <c r="D6" s="84"/>
      <c r="I6" s="30">
        <v>1005</v>
      </c>
      <c r="J6" s="30" t="s">
        <v>27</v>
      </c>
      <c r="K6" s="31" t="s">
        <v>31</v>
      </c>
      <c r="L6" s="19" t="s">
        <v>367</v>
      </c>
      <c r="M6" s="20">
        <v>1</v>
      </c>
      <c r="N6" s="20">
        <v>0.22</v>
      </c>
      <c r="O6" s="20">
        <f t="shared" si="0"/>
        <v>0.16500000000000001</v>
      </c>
      <c r="P6" s="20">
        <f t="shared" si="1"/>
        <v>0.15</v>
      </c>
      <c r="Q6" s="20">
        <f t="shared" si="2"/>
        <v>0.11249999999999999</v>
      </c>
      <c r="R6" s="20">
        <f t="shared" si="3"/>
        <v>0.15</v>
      </c>
      <c r="S6" s="20">
        <f t="shared" si="4"/>
        <v>0.11249999999999999</v>
      </c>
      <c r="T6" s="20">
        <f t="shared" si="5"/>
        <v>0.15</v>
      </c>
      <c r="U6" s="20">
        <f t="shared" si="12"/>
        <v>4.165</v>
      </c>
      <c r="V6" s="21">
        <f t="shared" si="6"/>
        <v>8.2500000000000004E-2</v>
      </c>
      <c r="W6" s="21">
        <f t="shared" si="7"/>
        <v>0.45749999999999996</v>
      </c>
      <c r="X6" s="21">
        <f t="shared" si="8"/>
        <v>0.41174999999999995</v>
      </c>
      <c r="Y6" s="20">
        <f t="shared" si="9"/>
        <v>2.0825</v>
      </c>
      <c r="Z6" s="20">
        <f t="shared" si="10"/>
        <v>2.4574999999999996</v>
      </c>
      <c r="AA6" s="20">
        <f t="shared" si="11"/>
        <v>2.2117499999999994</v>
      </c>
    </row>
    <row r="7" spans="2:27" ht="20.100000000000001" customHeight="1" thickBot="1" x14ac:dyDescent="0.35">
      <c r="B7" s="100" t="s">
        <v>355</v>
      </c>
      <c r="C7" s="101"/>
      <c r="D7" s="102"/>
      <c r="I7" s="32">
        <v>1006</v>
      </c>
      <c r="J7" s="32" t="s">
        <v>27</v>
      </c>
      <c r="K7" s="33" t="s">
        <v>32</v>
      </c>
      <c r="L7" s="22" t="s">
        <v>368</v>
      </c>
      <c r="M7" s="20">
        <v>3</v>
      </c>
      <c r="N7" s="20">
        <v>0.28000000000000003</v>
      </c>
      <c r="O7" s="20">
        <f t="shared" si="0"/>
        <v>0.35000000000000003</v>
      </c>
      <c r="P7" s="20">
        <f t="shared" si="1"/>
        <v>0.15</v>
      </c>
      <c r="Q7" s="20">
        <f t="shared" si="2"/>
        <v>0.1875</v>
      </c>
      <c r="R7" s="20">
        <f t="shared" si="3"/>
        <v>0.15</v>
      </c>
      <c r="S7" s="20">
        <f t="shared" si="4"/>
        <v>0.1875</v>
      </c>
      <c r="T7" s="20">
        <f t="shared" si="5"/>
        <v>0.15</v>
      </c>
      <c r="U7" s="20">
        <f t="shared" si="12"/>
        <v>4.3499999999999996</v>
      </c>
      <c r="V7" s="21">
        <f t="shared" si="6"/>
        <v>0.17500000000000004</v>
      </c>
      <c r="W7" s="21">
        <f t="shared" si="7"/>
        <v>0.70000000000000007</v>
      </c>
      <c r="X7" s="21">
        <f t="shared" si="8"/>
        <v>0.63000000000000012</v>
      </c>
      <c r="Y7" s="20">
        <f t="shared" si="9"/>
        <v>2.1749999999999998</v>
      </c>
      <c r="Z7" s="20">
        <f t="shared" si="10"/>
        <v>2.6999999999999997</v>
      </c>
      <c r="AA7" s="20">
        <f t="shared" si="11"/>
        <v>2.4299999999999997</v>
      </c>
    </row>
    <row r="8" spans="2:27" ht="20.100000000000001" customHeight="1" thickBot="1" x14ac:dyDescent="0.35">
      <c r="I8" s="30">
        <v>1007</v>
      </c>
      <c r="J8" s="30" t="s">
        <v>27</v>
      </c>
      <c r="K8" s="31" t="s">
        <v>33</v>
      </c>
      <c r="L8" s="19" t="s">
        <v>367</v>
      </c>
      <c r="M8" s="20">
        <v>1</v>
      </c>
      <c r="N8" s="20">
        <v>0.3</v>
      </c>
      <c r="O8" s="20">
        <f t="shared" si="0"/>
        <v>0.22499999999999998</v>
      </c>
      <c r="P8" s="20">
        <f t="shared" si="1"/>
        <v>0.15</v>
      </c>
      <c r="Q8" s="20">
        <f t="shared" si="2"/>
        <v>0.11249999999999999</v>
      </c>
      <c r="R8" s="20">
        <f t="shared" si="3"/>
        <v>0.15</v>
      </c>
      <c r="S8" s="20">
        <f t="shared" si="4"/>
        <v>0.11249999999999999</v>
      </c>
      <c r="T8" s="20">
        <f t="shared" si="5"/>
        <v>0.15</v>
      </c>
      <c r="U8" s="20">
        <f t="shared" si="12"/>
        <v>4.2249999999999996</v>
      </c>
      <c r="V8" s="21">
        <f t="shared" si="6"/>
        <v>0.11249999999999999</v>
      </c>
      <c r="W8" s="21">
        <f t="shared" si="7"/>
        <v>0.48749999999999993</v>
      </c>
      <c r="X8" s="21">
        <f t="shared" si="8"/>
        <v>0.43874999999999992</v>
      </c>
      <c r="Y8" s="20">
        <f t="shared" si="9"/>
        <v>2.1124999999999998</v>
      </c>
      <c r="Z8" s="20">
        <f t="shared" si="10"/>
        <v>2.4874999999999994</v>
      </c>
      <c r="AA8" s="20">
        <f t="shared" si="11"/>
        <v>2.2387499999999996</v>
      </c>
    </row>
    <row r="9" spans="2:27" ht="20.100000000000001" customHeight="1" x14ac:dyDescent="0.3">
      <c r="B9" s="97" t="s">
        <v>324</v>
      </c>
      <c r="C9" s="98"/>
      <c r="D9" s="99"/>
      <c r="I9" s="32">
        <v>1008</v>
      </c>
      <c r="J9" s="32" t="s">
        <v>27</v>
      </c>
      <c r="K9" s="33" t="s">
        <v>34</v>
      </c>
      <c r="L9" s="22" t="s">
        <v>368</v>
      </c>
      <c r="M9" s="20">
        <v>3</v>
      </c>
      <c r="N9" s="20">
        <v>0.27</v>
      </c>
      <c r="O9" s="20">
        <f t="shared" si="0"/>
        <v>0.33750000000000002</v>
      </c>
      <c r="P9" s="20">
        <f t="shared" si="1"/>
        <v>0.15</v>
      </c>
      <c r="Q9" s="20">
        <f t="shared" si="2"/>
        <v>0.1875</v>
      </c>
      <c r="R9" s="20">
        <f t="shared" si="3"/>
        <v>0.15</v>
      </c>
      <c r="S9" s="20">
        <f t="shared" si="4"/>
        <v>0.1875</v>
      </c>
      <c r="T9" s="20">
        <f t="shared" si="5"/>
        <v>0.15</v>
      </c>
      <c r="U9" s="20">
        <f t="shared" si="12"/>
        <v>4.3375000000000004</v>
      </c>
      <c r="V9" s="21">
        <f t="shared" si="6"/>
        <v>0.16875000000000001</v>
      </c>
      <c r="W9" s="21">
        <f t="shared" si="7"/>
        <v>0.69374999999999998</v>
      </c>
      <c r="X9" s="21">
        <f t="shared" si="8"/>
        <v>0.62437500000000001</v>
      </c>
      <c r="Y9" s="20">
        <f t="shared" si="9"/>
        <v>2.1687500000000002</v>
      </c>
      <c r="Z9" s="20">
        <f t="shared" si="10"/>
        <v>2.6937500000000001</v>
      </c>
      <c r="AA9" s="20">
        <f t="shared" si="11"/>
        <v>2.4243749999999999</v>
      </c>
    </row>
    <row r="10" spans="2:27" ht="33.75" customHeight="1" x14ac:dyDescent="0.3">
      <c r="B10" s="34" t="s">
        <v>325</v>
      </c>
      <c r="C10" s="35" t="s">
        <v>326</v>
      </c>
      <c r="D10" s="36" t="s">
        <v>327</v>
      </c>
      <c r="I10" s="30">
        <v>1009</v>
      </c>
      <c r="J10" s="30" t="s">
        <v>27</v>
      </c>
      <c r="K10" s="31" t="s">
        <v>35</v>
      </c>
      <c r="L10" s="19" t="s">
        <v>367</v>
      </c>
      <c r="M10" s="20">
        <v>1</v>
      </c>
      <c r="N10" s="20">
        <v>0.22</v>
      </c>
      <c r="O10" s="20">
        <f t="shared" si="0"/>
        <v>0.16500000000000001</v>
      </c>
      <c r="P10" s="20">
        <f t="shared" si="1"/>
        <v>0.15</v>
      </c>
      <c r="Q10" s="20">
        <f t="shared" si="2"/>
        <v>0.11249999999999999</v>
      </c>
      <c r="R10" s="20">
        <f t="shared" si="3"/>
        <v>0.15</v>
      </c>
      <c r="S10" s="20">
        <f t="shared" si="4"/>
        <v>0.11249999999999999</v>
      </c>
      <c r="T10" s="20">
        <f t="shared" si="5"/>
        <v>0.15</v>
      </c>
      <c r="U10" s="20">
        <f t="shared" si="12"/>
        <v>4.165</v>
      </c>
      <c r="V10" s="21">
        <f t="shared" si="6"/>
        <v>8.2500000000000004E-2</v>
      </c>
      <c r="W10" s="21">
        <f t="shared" si="7"/>
        <v>0.45749999999999996</v>
      </c>
      <c r="X10" s="21">
        <f t="shared" si="8"/>
        <v>0.41174999999999995</v>
      </c>
      <c r="Y10" s="20">
        <f t="shared" si="9"/>
        <v>2.0825</v>
      </c>
      <c r="Z10" s="20">
        <f t="shared" si="10"/>
        <v>2.4574999999999996</v>
      </c>
      <c r="AA10" s="20">
        <f t="shared" si="11"/>
        <v>2.2117499999999994</v>
      </c>
    </row>
    <row r="11" spans="2:27" x14ac:dyDescent="0.3">
      <c r="B11" s="37">
        <v>0</v>
      </c>
      <c r="C11" s="38">
        <v>0</v>
      </c>
      <c r="D11" s="39">
        <v>0</v>
      </c>
      <c r="I11" s="30">
        <v>1010</v>
      </c>
      <c r="J11" s="30" t="s">
        <v>27</v>
      </c>
      <c r="K11" s="31" t="s">
        <v>36</v>
      </c>
      <c r="L11" s="19" t="s">
        <v>367</v>
      </c>
      <c r="M11" s="20">
        <v>1</v>
      </c>
      <c r="N11" s="20">
        <v>0.2</v>
      </c>
      <c r="O11" s="20">
        <f t="shared" si="0"/>
        <v>0.15000000000000002</v>
      </c>
      <c r="P11" s="20">
        <f t="shared" si="1"/>
        <v>0.15</v>
      </c>
      <c r="Q11" s="20">
        <f t="shared" si="2"/>
        <v>0.11249999999999999</v>
      </c>
      <c r="R11" s="20">
        <f t="shared" si="3"/>
        <v>0.15</v>
      </c>
      <c r="S11" s="20">
        <f t="shared" si="4"/>
        <v>0.11249999999999999</v>
      </c>
      <c r="T11" s="20">
        <f t="shared" si="5"/>
        <v>0.15</v>
      </c>
      <c r="U11" s="20">
        <f t="shared" si="12"/>
        <v>4.1500000000000004</v>
      </c>
      <c r="V11" s="21">
        <f t="shared" si="6"/>
        <v>7.5000000000000011E-2</v>
      </c>
      <c r="W11" s="21">
        <f t="shared" si="7"/>
        <v>0.45</v>
      </c>
      <c r="X11" s="21">
        <f t="shared" si="8"/>
        <v>0.40500000000000003</v>
      </c>
      <c r="Y11" s="20">
        <f t="shared" si="9"/>
        <v>2.0750000000000002</v>
      </c>
      <c r="Z11" s="20">
        <f t="shared" si="10"/>
        <v>2.4499999999999997</v>
      </c>
      <c r="AA11" s="20">
        <f t="shared" si="11"/>
        <v>2.2049999999999996</v>
      </c>
    </row>
    <row r="12" spans="2:27" ht="20.100000000000001" customHeight="1" x14ac:dyDescent="0.3">
      <c r="B12" s="34" t="s">
        <v>328</v>
      </c>
      <c r="C12" s="35" t="s">
        <v>329</v>
      </c>
      <c r="D12" s="1" t="s">
        <v>330</v>
      </c>
      <c r="I12" s="30">
        <v>1011</v>
      </c>
      <c r="J12" s="30" t="s">
        <v>27</v>
      </c>
      <c r="K12" s="31" t="s">
        <v>37</v>
      </c>
      <c r="L12" s="19" t="s">
        <v>367</v>
      </c>
      <c r="M12" s="20">
        <v>1</v>
      </c>
      <c r="N12" s="20">
        <v>0.34</v>
      </c>
      <c r="O12" s="20">
        <f t="shared" si="0"/>
        <v>0.255</v>
      </c>
      <c r="P12" s="20">
        <f t="shared" si="1"/>
        <v>0.15</v>
      </c>
      <c r="Q12" s="20">
        <f t="shared" si="2"/>
        <v>0.11249999999999999</v>
      </c>
      <c r="R12" s="20">
        <f t="shared" si="3"/>
        <v>0.15</v>
      </c>
      <c r="S12" s="20">
        <f t="shared" si="4"/>
        <v>0.11249999999999999</v>
      </c>
      <c r="T12" s="20">
        <f t="shared" si="5"/>
        <v>0.15</v>
      </c>
      <c r="U12" s="20">
        <f t="shared" si="12"/>
        <v>4.2549999999999999</v>
      </c>
      <c r="V12" s="21">
        <f t="shared" si="6"/>
        <v>0.1275</v>
      </c>
      <c r="W12" s="21">
        <f t="shared" si="7"/>
        <v>0.50249999999999995</v>
      </c>
      <c r="X12" s="21">
        <f t="shared" si="8"/>
        <v>0.45224999999999993</v>
      </c>
      <c r="Y12" s="20">
        <f t="shared" si="9"/>
        <v>2.1274999999999999</v>
      </c>
      <c r="Z12" s="20">
        <f t="shared" si="10"/>
        <v>2.5024999999999995</v>
      </c>
      <c r="AA12" s="20">
        <f t="shared" si="11"/>
        <v>2.2522499999999996</v>
      </c>
    </row>
    <row r="13" spans="2:27" ht="17.25" customHeight="1" thickBot="1" x14ac:dyDescent="0.35">
      <c r="B13" s="40">
        <v>500000</v>
      </c>
      <c r="C13" s="41"/>
      <c r="D13" s="42">
        <f>IF((B11+C11+D11+B13+C13)&lt;=500000000,(B11+C11+D11+B13+C13),"TOTAL SUM INSURED CANT BE MORE THAN Rs. 50 Crores")</f>
        <v>500000</v>
      </c>
      <c r="I13" s="30">
        <v>1012</v>
      </c>
      <c r="J13" s="30" t="s">
        <v>27</v>
      </c>
      <c r="K13" s="31" t="s">
        <v>38</v>
      </c>
      <c r="L13" s="19" t="s">
        <v>367</v>
      </c>
      <c r="M13" s="20">
        <v>1</v>
      </c>
      <c r="N13" s="20">
        <v>0.24</v>
      </c>
      <c r="O13" s="20">
        <f t="shared" si="0"/>
        <v>0.18</v>
      </c>
      <c r="P13" s="20">
        <f t="shared" si="1"/>
        <v>0.15</v>
      </c>
      <c r="Q13" s="20">
        <f t="shared" si="2"/>
        <v>0.11249999999999999</v>
      </c>
      <c r="R13" s="20">
        <f t="shared" si="3"/>
        <v>0.15</v>
      </c>
      <c r="S13" s="20">
        <f t="shared" si="4"/>
        <v>0.11249999999999999</v>
      </c>
      <c r="T13" s="20">
        <f t="shared" si="5"/>
        <v>0.15</v>
      </c>
      <c r="U13" s="20">
        <f t="shared" si="12"/>
        <v>4.18</v>
      </c>
      <c r="V13" s="21">
        <f t="shared" si="6"/>
        <v>0.09</v>
      </c>
      <c r="W13" s="21">
        <f t="shared" si="7"/>
        <v>0.46499999999999997</v>
      </c>
      <c r="X13" s="21">
        <f t="shared" si="8"/>
        <v>0.41849999999999993</v>
      </c>
      <c r="Y13" s="20">
        <f t="shared" si="9"/>
        <v>2.09</v>
      </c>
      <c r="Z13" s="20">
        <f t="shared" si="10"/>
        <v>2.4649999999999994</v>
      </c>
      <c r="AA13" s="20">
        <f t="shared" si="11"/>
        <v>2.2184999999999993</v>
      </c>
    </row>
    <row r="14" spans="2:27" ht="42" customHeight="1" thickBot="1" x14ac:dyDescent="0.35">
      <c r="I14" s="30">
        <v>1013</v>
      </c>
      <c r="J14" s="30" t="s">
        <v>27</v>
      </c>
      <c r="K14" s="31" t="s">
        <v>39</v>
      </c>
      <c r="L14" s="19" t="s">
        <v>367</v>
      </c>
      <c r="M14" s="20">
        <v>1</v>
      </c>
      <c r="N14" s="20">
        <v>0.2</v>
      </c>
      <c r="O14" s="20">
        <f t="shared" si="0"/>
        <v>0.15000000000000002</v>
      </c>
      <c r="P14" s="20">
        <f t="shared" si="1"/>
        <v>0.15</v>
      </c>
      <c r="Q14" s="20">
        <f t="shared" si="2"/>
        <v>0.11249999999999999</v>
      </c>
      <c r="R14" s="20">
        <f t="shared" si="3"/>
        <v>0.15</v>
      </c>
      <c r="S14" s="20">
        <f t="shared" si="4"/>
        <v>0.11249999999999999</v>
      </c>
      <c r="T14" s="20">
        <f t="shared" si="5"/>
        <v>0.15</v>
      </c>
      <c r="U14" s="20">
        <f t="shared" si="12"/>
        <v>4.1500000000000004</v>
      </c>
      <c r="V14" s="21">
        <f t="shared" si="6"/>
        <v>7.5000000000000011E-2</v>
      </c>
      <c r="W14" s="21">
        <f t="shared" si="7"/>
        <v>0.45</v>
      </c>
      <c r="X14" s="21">
        <f t="shared" si="8"/>
        <v>0.40500000000000003</v>
      </c>
      <c r="Y14" s="20">
        <f t="shared" si="9"/>
        <v>2.0750000000000002</v>
      </c>
      <c r="Z14" s="20">
        <f t="shared" si="10"/>
        <v>2.4499999999999997</v>
      </c>
      <c r="AA14" s="20">
        <f t="shared" si="11"/>
        <v>2.2049999999999996</v>
      </c>
    </row>
    <row r="15" spans="2:27" ht="15" thickBot="1" x14ac:dyDescent="0.35">
      <c r="B15" s="89" t="s">
        <v>332</v>
      </c>
      <c r="C15" s="90"/>
      <c r="D15" s="43" t="s">
        <v>8</v>
      </c>
      <c r="I15" s="30">
        <v>1014</v>
      </c>
      <c r="J15" s="30" t="s">
        <v>27</v>
      </c>
      <c r="K15" s="31" t="s">
        <v>40</v>
      </c>
      <c r="L15" s="19" t="s">
        <v>367</v>
      </c>
      <c r="M15" s="20">
        <v>1</v>
      </c>
      <c r="N15" s="20">
        <v>0.22</v>
      </c>
      <c r="O15" s="20">
        <f t="shared" si="0"/>
        <v>0.16500000000000001</v>
      </c>
      <c r="P15" s="20">
        <f t="shared" si="1"/>
        <v>0.15</v>
      </c>
      <c r="Q15" s="20">
        <f t="shared" si="2"/>
        <v>0.11249999999999999</v>
      </c>
      <c r="R15" s="20">
        <f t="shared" si="3"/>
        <v>0.15</v>
      </c>
      <c r="S15" s="20">
        <f t="shared" si="4"/>
        <v>0.11249999999999999</v>
      </c>
      <c r="T15" s="20">
        <f t="shared" si="5"/>
        <v>0.15</v>
      </c>
      <c r="U15" s="20">
        <f t="shared" si="12"/>
        <v>4.165</v>
      </c>
      <c r="V15" s="21">
        <f t="shared" si="6"/>
        <v>8.2500000000000004E-2</v>
      </c>
      <c r="W15" s="21">
        <f t="shared" si="7"/>
        <v>0.45749999999999996</v>
      </c>
      <c r="X15" s="21">
        <f t="shared" si="8"/>
        <v>0.41174999999999995</v>
      </c>
      <c r="Y15" s="20">
        <f t="shared" si="9"/>
        <v>2.0825</v>
      </c>
      <c r="Z15" s="20">
        <f t="shared" si="10"/>
        <v>2.4574999999999996</v>
      </c>
      <c r="AA15" s="20">
        <f t="shared" si="11"/>
        <v>2.2117499999999994</v>
      </c>
    </row>
    <row r="16" spans="2:27" ht="20.25" customHeight="1" thickBot="1" x14ac:dyDescent="0.35">
      <c r="I16" s="30">
        <v>1015</v>
      </c>
      <c r="J16" s="30" t="s">
        <v>27</v>
      </c>
      <c r="K16" s="31" t="s">
        <v>41</v>
      </c>
      <c r="L16" s="19" t="s">
        <v>367</v>
      </c>
      <c r="M16" s="20">
        <v>1</v>
      </c>
      <c r="N16" s="20">
        <v>0.23</v>
      </c>
      <c r="O16" s="20">
        <f t="shared" si="0"/>
        <v>0.17250000000000001</v>
      </c>
      <c r="P16" s="20">
        <f t="shared" si="1"/>
        <v>0.15</v>
      </c>
      <c r="Q16" s="20">
        <f t="shared" si="2"/>
        <v>0.11249999999999999</v>
      </c>
      <c r="R16" s="20">
        <f t="shared" si="3"/>
        <v>0.15</v>
      </c>
      <c r="S16" s="20">
        <f t="shared" si="4"/>
        <v>0.11249999999999999</v>
      </c>
      <c r="T16" s="20">
        <f t="shared" si="5"/>
        <v>0.15</v>
      </c>
      <c r="U16" s="20">
        <f t="shared" si="12"/>
        <v>4.1725000000000003</v>
      </c>
      <c r="V16" s="21">
        <f t="shared" si="6"/>
        <v>8.6250000000000021E-2</v>
      </c>
      <c r="W16" s="21">
        <f t="shared" si="7"/>
        <v>0.46124999999999999</v>
      </c>
      <c r="X16" s="21">
        <f t="shared" si="8"/>
        <v>0.41512500000000002</v>
      </c>
      <c r="Y16" s="20">
        <f t="shared" si="9"/>
        <v>2.0862500000000002</v>
      </c>
      <c r="Z16" s="20">
        <f t="shared" si="10"/>
        <v>2.4612499999999997</v>
      </c>
      <c r="AA16" s="20">
        <f t="shared" si="11"/>
        <v>2.215125</v>
      </c>
    </row>
    <row r="17" spans="2:27" ht="30" customHeight="1" thickBot="1" x14ac:dyDescent="0.35">
      <c r="B17" s="87" t="s">
        <v>337</v>
      </c>
      <c r="C17" s="88"/>
      <c r="D17" s="44" t="s">
        <v>343</v>
      </c>
      <c r="I17" s="32">
        <v>1016</v>
      </c>
      <c r="J17" s="32" t="s">
        <v>27</v>
      </c>
      <c r="K17" s="33" t="s">
        <v>42</v>
      </c>
      <c r="L17" s="22" t="s">
        <v>369</v>
      </c>
      <c r="M17" s="20">
        <v>4</v>
      </c>
      <c r="N17" s="20">
        <v>0.1</v>
      </c>
      <c r="O17" s="20">
        <f t="shared" si="0"/>
        <v>0.26</v>
      </c>
      <c r="P17" s="20">
        <f t="shared" si="1"/>
        <v>0.15</v>
      </c>
      <c r="Q17" s="20">
        <f t="shared" si="2"/>
        <v>0.39</v>
      </c>
      <c r="R17" s="20">
        <f t="shared" si="3"/>
        <v>0.15</v>
      </c>
      <c r="S17" s="20">
        <f t="shared" si="4"/>
        <v>0.39</v>
      </c>
      <c r="T17" s="20">
        <f t="shared" si="5"/>
        <v>0.15</v>
      </c>
      <c r="U17" s="20">
        <f t="shared" si="12"/>
        <v>4.26</v>
      </c>
      <c r="V17" s="21">
        <f t="shared" si="6"/>
        <v>0.13</v>
      </c>
      <c r="W17" s="21">
        <f t="shared" si="7"/>
        <v>1.06</v>
      </c>
      <c r="X17" s="21">
        <f t="shared" si="8"/>
        <v>0.95400000000000007</v>
      </c>
      <c r="Y17" s="20">
        <f t="shared" si="9"/>
        <v>2.13</v>
      </c>
      <c r="Z17" s="20">
        <f t="shared" si="10"/>
        <v>3.06</v>
      </c>
      <c r="AA17" s="20">
        <f t="shared" si="11"/>
        <v>2.7539999999999996</v>
      </c>
    </row>
    <row r="18" spans="2:27" ht="29.4" thickBot="1" x14ac:dyDescent="0.35">
      <c r="F18" t="s">
        <v>343</v>
      </c>
      <c r="G18" t="s">
        <v>344</v>
      </c>
      <c r="I18" s="32">
        <v>1017</v>
      </c>
      <c r="J18" s="32" t="s">
        <v>27</v>
      </c>
      <c r="K18" s="33" t="s">
        <v>43</v>
      </c>
      <c r="L18" s="22" t="s">
        <v>370</v>
      </c>
      <c r="M18" s="20">
        <v>2</v>
      </c>
      <c r="N18" s="20">
        <v>0.3</v>
      </c>
      <c r="O18" s="20">
        <f t="shared" si="0"/>
        <v>0.27</v>
      </c>
      <c r="P18" s="20">
        <f t="shared" si="1"/>
        <v>0.15</v>
      </c>
      <c r="Q18" s="20">
        <f t="shared" si="2"/>
        <v>0.13500000000000001</v>
      </c>
      <c r="R18" s="20">
        <f t="shared" si="3"/>
        <v>0.15</v>
      </c>
      <c r="S18" s="20">
        <f t="shared" si="4"/>
        <v>0.13500000000000001</v>
      </c>
      <c r="T18" s="20">
        <f t="shared" si="5"/>
        <v>0.15</v>
      </c>
      <c r="U18" s="20">
        <f t="shared" si="12"/>
        <v>4.2699999999999996</v>
      </c>
      <c r="V18" s="21">
        <f t="shared" si="6"/>
        <v>0.13500000000000001</v>
      </c>
      <c r="W18" s="21">
        <f t="shared" si="7"/>
        <v>0.55500000000000005</v>
      </c>
      <c r="X18" s="21">
        <f t="shared" si="8"/>
        <v>0.49950000000000006</v>
      </c>
      <c r="Y18" s="20">
        <f t="shared" si="9"/>
        <v>2.1349999999999998</v>
      </c>
      <c r="Z18" s="20">
        <f t="shared" si="10"/>
        <v>2.5549999999999993</v>
      </c>
      <c r="AA18" s="20">
        <f t="shared" si="11"/>
        <v>2.2994999999999992</v>
      </c>
    </row>
    <row r="19" spans="2:27" ht="15" thickBot="1" x14ac:dyDescent="0.35">
      <c r="B19" s="45" t="s">
        <v>10</v>
      </c>
      <c r="C19" s="46" t="s">
        <v>11</v>
      </c>
      <c r="D19" s="47" t="s">
        <v>12</v>
      </c>
      <c r="F19" t="s">
        <v>9</v>
      </c>
      <c r="G19" t="s">
        <v>342</v>
      </c>
      <c r="I19" s="32">
        <v>1018</v>
      </c>
      <c r="J19" s="32" t="s">
        <v>27</v>
      </c>
      <c r="K19" s="33" t="s">
        <v>44</v>
      </c>
      <c r="L19" s="22" t="s">
        <v>370</v>
      </c>
      <c r="M19" s="20">
        <v>2</v>
      </c>
      <c r="N19" s="20">
        <v>0.56000000000000005</v>
      </c>
      <c r="O19" s="20">
        <f t="shared" si="0"/>
        <v>0.504</v>
      </c>
      <c r="P19" s="20">
        <f t="shared" si="1"/>
        <v>0.15</v>
      </c>
      <c r="Q19" s="20">
        <f t="shared" si="2"/>
        <v>0.13500000000000001</v>
      </c>
      <c r="R19" s="20">
        <f t="shared" si="3"/>
        <v>0.15</v>
      </c>
      <c r="S19" s="20">
        <f t="shared" si="4"/>
        <v>0.13500000000000001</v>
      </c>
      <c r="T19" s="20">
        <f t="shared" si="5"/>
        <v>0.15</v>
      </c>
      <c r="U19" s="20">
        <f t="shared" si="12"/>
        <v>4.5039999999999996</v>
      </c>
      <c r="V19" s="21">
        <f t="shared" si="6"/>
        <v>0.252</v>
      </c>
      <c r="W19" s="21">
        <f t="shared" si="7"/>
        <v>0.67200000000000004</v>
      </c>
      <c r="X19" s="21">
        <f t="shared" si="8"/>
        <v>0.6048</v>
      </c>
      <c r="Y19" s="20">
        <f t="shared" si="9"/>
        <v>2.2519999999999998</v>
      </c>
      <c r="Z19" s="20">
        <f t="shared" si="10"/>
        <v>2.6719999999999993</v>
      </c>
      <c r="AA19" s="20">
        <f t="shared" si="11"/>
        <v>2.4047999999999994</v>
      </c>
    </row>
    <row r="20" spans="2:27" ht="29.4" thickBot="1" x14ac:dyDescent="0.35">
      <c r="B20" s="48" t="s">
        <v>0</v>
      </c>
      <c r="C20" s="49" t="s">
        <v>9</v>
      </c>
      <c r="D20" s="50">
        <f>IF(C20="YES",-10,0)</f>
        <v>-10</v>
      </c>
      <c r="F20" t="s">
        <v>8</v>
      </c>
      <c r="I20" s="30">
        <v>1019</v>
      </c>
      <c r="J20" s="30" t="s">
        <v>27</v>
      </c>
      <c r="K20" s="31" t="s">
        <v>45</v>
      </c>
      <c r="L20" s="19" t="s">
        <v>367</v>
      </c>
      <c r="M20" s="20">
        <v>1</v>
      </c>
      <c r="N20" s="20">
        <v>1.1499999999999999</v>
      </c>
      <c r="O20" s="20">
        <f t="shared" si="0"/>
        <v>0.86249999999999993</v>
      </c>
      <c r="P20" s="20">
        <f t="shared" si="1"/>
        <v>0.15</v>
      </c>
      <c r="Q20" s="20">
        <f t="shared" si="2"/>
        <v>0.11249999999999999</v>
      </c>
      <c r="R20" s="20">
        <f t="shared" si="3"/>
        <v>0.15</v>
      </c>
      <c r="S20" s="20">
        <f t="shared" si="4"/>
        <v>0.11249999999999999</v>
      </c>
      <c r="T20" s="20">
        <f t="shared" si="5"/>
        <v>0.15</v>
      </c>
      <c r="U20" s="20">
        <f t="shared" si="12"/>
        <v>4.8624999999999998</v>
      </c>
      <c r="V20" s="21">
        <f t="shared" si="6"/>
        <v>0.43124999999999991</v>
      </c>
      <c r="W20" s="21">
        <f t="shared" si="7"/>
        <v>0.80624999999999991</v>
      </c>
      <c r="X20" s="21">
        <f t="shared" si="8"/>
        <v>0.72562499999999985</v>
      </c>
      <c r="Y20" s="20">
        <f t="shared" si="9"/>
        <v>2.4312499999999999</v>
      </c>
      <c r="Z20" s="20">
        <f t="shared" si="10"/>
        <v>2.8062499999999995</v>
      </c>
      <c r="AA20" s="20">
        <f t="shared" si="11"/>
        <v>2.5256249999999993</v>
      </c>
    </row>
    <row r="21" spans="2:27" ht="29.4" thickBot="1" x14ac:dyDescent="0.35">
      <c r="B21" s="51" t="s">
        <v>1</v>
      </c>
      <c r="C21" s="49" t="s">
        <v>9</v>
      </c>
      <c r="D21" s="52">
        <f t="shared" ref="D21:D22" si="13">IF(C21="YES",-10,0)</f>
        <v>-10</v>
      </c>
      <c r="I21" s="30">
        <v>1020</v>
      </c>
      <c r="J21" s="30" t="s">
        <v>27</v>
      </c>
      <c r="K21" s="31" t="s">
        <v>46</v>
      </c>
      <c r="L21" s="19" t="s">
        <v>367</v>
      </c>
      <c r="M21" s="20">
        <v>1</v>
      </c>
      <c r="N21" s="20">
        <v>0.75</v>
      </c>
      <c r="O21" s="20">
        <f t="shared" si="0"/>
        <v>0.5625</v>
      </c>
      <c r="P21" s="20">
        <f t="shared" si="1"/>
        <v>0.15</v>
      </c>
      <c r="Q21" s="20">
        <f t="shared" si="2"/>
        <v>0.11249999999999999</v>
      </c>
      <c r="R21" s="20">
        <f t="shared" si="3"/>
        <v>0.15</v>
      </c>
      <c r="S21" s="20">
        <f t="shared" si="4"/>
        <v>0.11249999999999999</v>
      </c>
      <c r="T21" s="20">
        <f t="shared" si="5"/>
        <v>0.15</v>
      </c>
      <c r="U21" s="20">
        <f t="shared" si="12"/>
        <v>4.5625</v>
      </c>
      <c r="V21" s="21">
        <f t="shared" si="6"/>
        <v>0.28125</v>
      </c>
      <c r="W21" s="21">
        <f t="shared" si="7"/>
        <v>0.65625</v>
      </c>
      <c r="X21" s="21">
        <f t="shared" si="8"/>
        <v>0.59062499999999996</v>
      </c>
      <c r="Y21" s="20">
        <f t="shared" si="9"/>
        <v>2.28125</v>
      </c>
      <c r="Z21" s="20">
        <f t="shared" si="10"/>
        <v>2.6562499999999996</v>
      </c>
      <c r="AA21" s="20">
        <f t="shared" si="11"/>
        <v>2.3906249999999996</v>
      </c>
    </row>
    <row r="22" spans="2:27" ht="43.8" thickBot="1" x14ac:dyDescent="0.35">
      <c r="B22" s="51" t="s">
        <v>2</v>
      </c>
      <c r="C22" s="49" t="s">
        <v>9</v>
      </c>
      <c r="D22" s="52">
        <f t="shared" si="13"/>
        <v>-10</v>
      </c>
      <c r="I22" s="32">
        <v>1021</v>
      </c>
      <c r="J22" s="32" t="s">
        <v>27</v>
      </c>
      <c r="K22" s="33" t="s">
        <v>47</v>
      </c>
      <c r="L22" s="22" t="s">
        <v>369</v>
      </c>
      <c r="M22" s="20">
        <v>4</v>
      </c>
      <c r="N22" s="20">
        <v>1.19</v>
      </c>
      <c r="O22" s="20">
        <f t="shared" si="0"/>
        <v>3.0939999999999999</v>
      </c>
      <c r="P22" s="20">
        <f t="shared" si="1"/>
        <v>0.15</v>
      </c>
      <c r="Q22" s="20">
        <f t="shared" si="2"/>
        <v>0.39</v>
      </c>
      <c r="R22" s="20">
        <f t="shared" si="3"/>
        <v>0.15</v>
      </c>
      <c r="S22" s="20">
        <f t="shared" si="4"/>
        <v>0.39</v>
      </c>
      <c r="T22" s="20">
        <f t="shared" si="5"/>
        <v>0.15</v>
      </c>
      <c r="U22" s="20">
        <f t="shared" si="12"/>
        <v>7.0939999999999994</v>
      </c>
      <c r="V22" s="21">
        <f t="shared" si="6"/>
        <v>1.5469999999999999</v>
      </c>
      <c r="W22" s="21">
        <f t="shared" si="7"/>
        <v>2.4769999999999999</v>
      </c>
      <c r="X22" s="21">
        <f t="shared" si="8"/>
        <v>2.2292999999999998</v>
      </c>
      <c r="Y22" s="20">
        <f t="shared" si="9"/>
        <v>3.5469999999999997</v>
      </c>
      <c r="Z22" s="20">
        <f t="shared" si="10"/>
        <v>4.4770000000000003</v>
      </c>
      <c r="AA22" s="20">
        <f t="shared" si="11"/>
        <v>4.0293000000000001</v>
      </c>
    </row>
    <row r="23" spans="2:27" ht="28.8" x14ac:dyDescent="0.3">
      <c r="B23" s="51" t="s">
        <v>3</v>
      </c>
      <c r="C23" s="49" t="s">
        <v>9</v>
      </c>
      <c r="D23" s="52">
        <f>IF(C23="YES",-10,5)</f>
        <v>-10</v>
      </c>
      <c r="I23" s="32">
        <v>1022</v>
      </c>
      <c r="J23" s="32" t="s">
        <v>27</v>
      </c>
      <c r="K23" s="33" t="s">
        <v>48</v>
      </c>
      <c r="L23" s="22" t="s">
        <v>368</v>
      </c>
      <c r="M23" s="20">
        <v>3</v>
      </c>
      <c r="N23" s="20">
        <v>1.24</v>
      </c>
      <c r="O23" s="20">
        <f t="shared" si="0"/>
        <v>1.55</v>
      </c>
      <c r="P23" s="20">
        <f t="shared" si="1"/>
        <v>0.15</v>
      </c>
      <c r="Q23" s="20">
        <f t="shared" si="2"/>
        <v>0.1875</v>
      </c>
      <c r="R23" s="20">
        <f t="shared" si="3"/>
        <v>0.15</v>
      </c>
      <c r="S23" s="20">
        <f t="shared" si="4"/>
        <v>0.1875</v>
      </c>
      <c r="T23" s="20">
        <f t="shared" si="5"/>
        <v>0.15</v>
      </c>
      <c r="U23" s="20">
        <f t="shared" si="12"/>
        <v>5.55</v>
      </c>
      <c r="V23" s="21">
        <f t="shared" si="6"/>
        <v>0.77500000000000002</v>
      </c>
      <c r="W23" s="21">
        <f t="shared" si="7"/>
        <v>1.3</v>
      </c>
      <c r="X23" s="21">
        <f t="shared" si="8"/>
        <v>1.17</v>
      </c>
      <c r="Y23" s="20">
        <f t="shared" si="9"/>
        <v>2.7749999999999999</v>
      </c>
      <c r="Z23" s="20">
        <f t="shared" si="10"/>
        <v>3.3</v>
      </c>
      <c r="AA23" s="20">
        <f t="shared" si="11"/>
        <v>2.97</v>
      </c>
    </row>
    <row r="24" spans="2:27" x14ac:dyDescent="0.3">
      <c r="B24" s="51" t="s">
        <v>4</v>
      </c>
      <c r="C24" s="53" t="s">
        <v>366</v>
      </c>
      <c r="D24" s="52">
        <f>IF(VLOOKUP(C2,I2:M287,5,0)=3, IF(C24="&lt;30",-30,IF(C24="&gt;=30&lt;=70",-20,IF(C24="&gt;70&lt;=100",0,IF(C24="&gt;100&lt;=200",10,50)))), IF(VLOOKUP(C2,I2:M287,5,0)=4, IF(C24="&lt;30",-55,IF(C24="&gt;=30&lt;=70",-20,IF(C24="&gt;70&lt;=100",0,IF(C24="&gt;100&lt;=200",10,50)))), IF(C24="&lt;=70",-20,IF(C24="&gt;70&lt;=100",0,IF(C24="&gt;100&lt;=200",10,50)))))</f>
        <v>-20</v>
      </c>
      <c r="I24" s="32">
        <v>1023</v>
      </c>
      <c r="J24" s="32" t="s">
        <v>27</v>
      </c>
      <c r="K24" s="33" t="s">
        <v>49</v>
      </c>
      <c r="L24" s="22" t="s">
        <v>370</v>
      </c>
      <c r="M24" s="20">
        <v>2</v>
      </c>
      <c r="N24" s="20">
        <v>0.79</v>
      </c>
      <c r="O24" s="20">
        <f t="shared" si="0"/>
        <v>0.71100000000000008</v>
      </c>
      <c r="P24" s="20">
        <f t="shared" si="1"/>
        <v>0.15</v>
      </c>
      <c r="Q24" s="20">
        <f t="shared" si="2"/>
        <v>0.13500000000000001</v>
      </c>
      <c r="R24" s="20">
        <f t="shared" si="3"/>
        <v>0.15</v>
      </c>
      <c r="S24" s="20">
        <f t="shared" si="4"/>
        <v>0.13500000000000001</v>
      </c>
      <c r="T24" s="20">
        <f t="shared" si="5"/>
        <v>0.15</v>
      </c>
      <c r="U24" s="20">
        <f t="shared" si="12"/>
        <v>4.7110000000000003</v>
      </c>
      <c r="V24" s="21">
        <f t="shared" si="6"/>
        <v>0.35550000000000004</v>
      </c>
      <c r="W24" s="21">
        <f t="shared" si="7"/>
        <v>0.77550000000000008</v>
      </c>
      <c r="X24" s="21">
        <f t="shared" si="8"/>
        <v>0.69795000000000007</v>
      </c>
      <c r="Y24" s="20">
        <f t="shared" si="9"/>
        <v>2.3555000000000001</v>
      </c>
      <c r="Z24" s="20">
        <f t="shared" si="10"/>
        <v>2.7754999999999996</v>
      </c>
      <c r="AA24" s="20">
        <f t="shared" si="11"/>
        <v>2.4979499999999994</v>
      </c>
    </row>
    <row r="25" spans="2:27" ht="48" customHeight="1" x14ac:dyDescent="0.3">
      <c r="B25" s="54">
        <f>IF(D24&gt;0,"ADDITIONAL_claim_ loading",0)</f>
        <v>0</v>
      </c>
      <c r="C25" s="55"/>
      <c r="D25" s="56">
        <v>100</v>
      </c>
      <c r="E25" s="57" t="str">
        <f>IF(D25&lt;0,"Additional Claim Loading cant be negative","")</f>
        <v/>
      </c>
      <c r="I25" s="32">
        <v>1024</v>
      </c>
      <c r="J25" s="32" t="s">
        <v>27</v>
      </c>
      <c r="K25" s="33" t="s">
        <v>50</v>
      </c>
      <c r="L25" s="22" t="s">
        <v>368</v>
      </c>
      <c r="M25" s="20">
        <v>3</v>
      </c>
      <c r="N25" s="20">
        <v>0.91</v>
      </c>
      <c r="O25" s="20">
        <f t="shared" si="0"/>
        <v>1.1375</v>
      </c>
      <c r="P25" s="20">
        <f t="shared" si="1"/>
        <v>0.15</v>
      </c>
      <c r="Q25" s="20">
        <f t="shared" si="2"/>
        <v>0.1875</v>
      </c>
      <c r="R25" s="20">
        <f t="shared" si="3"/>
        <v>0.15</v>
      </c>
      <c r="S25" s="20">
        <f t="shared" si="4"/>
        <v>0.1875</v>
      </c>
      <c r="T25" s="20">
        <f t="shared" si="5"/>
        <v>0.15</v>
      </c>
      <c r="U25" s="20">
        <f t="shared" si="12"/>
        <v>5.1375000000000002</v>
      </c>
      <c r="V25" s="21">
        <f t="shared" si="6"/>
        <v>0.56874999999999998</v>
      </c>
      <c r="W25" s="21">
        <f t="shared" si="7"/>
        <v>1.09375</v>
      </c>
      <c r="X25" s="21">
        <f t="shared" si="8"/>
        <v>0.984375</v>
      </c>
      <c r="Y25" s="20">
        <f t="shared" si="9"/>
        <v>2.5687500000000001</v>
      </c>
      <c r="Z25" s="20">
        <f t="shared" si="10"/>
        <v>3.09375</v>
      </c>
      <c r="AA25" s="20">
        <f t="shared" si="11"/>
        <v>2.7843749999999998</v>
      </c>
    </row>
    <row r="26" spans="2:27" ht="33" customHeight="1" thickBot="1" x14ac:dyDescent="0.35">
      <c r="B26" s="58" t="s">
        <v>5</v>
      </c>
      <c r="C26" s="59" t="s">
        <v>8</v>
      </c>
      <c r="D26" s="52">
        <f>IF(C26="YES",5,0)</f>
        <v>0</v>
      </c>
      <c r="I26" s="30">
        <v>1025</v>
      </c>
      <c r="J26" s="30" t="s">
        <v>27</v>
      </c>
      <c r="K26" s="31" t="s">
        <v>51</v>
      </c>
      <c r="L26" s="19" t="s">
        <v>367</v>
      </c>
      <c r="M26" s="20">
        <v>1</v>
      </c>
      <c r="N26" s="20">
        <v>0.85</v>
      </c>
      <c r="O26" s="20">
        <f t="shared" si="0"/>
        <v>0.63749999999999996</v>
      </c>
      <c r="P26" s="20">
        <f t="shared" si="1"/>
        <v>0.15</v>
      </c>
      <c r="Q26" s="20">
        <f t="shared" si="2"/>
        <v>0.11249999999999999</v>
      </c>
      <c r="R26" s="20">
        <f t="shared" si="3"/>
        <v>0.15</v>
      </c>
      <c r="S26" s="20">
        <f t="shared" si="4"/>
        <v>0.11249999999999999</v>
      </c>
      <c r="T26" s="20">
        <f t="shared" si="5"/>
        <v>0.15</v>
      </c>
      <c r="U26" s="20">
        <f t="shared" si="12"/>
        <v>4.6375000000000002</v>
      </c>
      <c r="V26" s="21">
        <f t="shared" si="6"/>
        <v>0.31874999999999998</v>
      </c>
      <c r="W26" s="21">
        <f t="shared" si="7"/>
        <v>0.69375000000000009</v>
      </c>
      <c r="X26" s="21">
        <f t="shared" si="8"/>
        <v>0.62437500000000012</v>
      </c>
      <c r="Y26" s="20">
        <f t="shared" si="9"/>
        <v>2.3187500000000001</v>
      </c>
      <c r="Z26" s="20">
        <f t="shared" si="10"/>
        <v>2.6937499999999996</v>
      </c>
      <c r="AA26" s="20">
        <f t="shared" si="11"/>
        <v>2.4243749999999995</v>
      </c>
    </row>
    <row r="27" spans="2:27" ht="29.4" thickBot="1" x14ac:dyDescent="0.35">
      <c r="B27" s="51" t="s">
        <v>6</v>
      </c>
      <c r="C27" s="49" t="s">
        <v>8</v>
      </c>
      <c r="D27" s="52">
        <f>IF(C27="YES",5,0)</f>
        <v>0</v>
      </c>
      <c r="I27" s="32">
        <v>1026</v>
      </c>
      <c r="J27" s="32" t="s">
        <v>27</v>
      </c>
      <c r="K27" s="33" t="s">
        <v>52</v>
      </c>
      <c r="L27" s="22" t="s">
        <v>368</v>
      </c>
      <c r="M27" s="20">
        <v>3</v>
      </c>
      <c r="N27" s="20">
        <v>0.56000000000000005</v>
      </c>
      <c r="O27" s="20">
        <f t="shared" si="0"/>
        <v>0.70000000000000007</v>
      </c>
      <c r="P27" s="20">
        <f t="shared" si="1"/>
        <v>0.15</v>
      </c>
      <c r="Q27" s="20">
        <f t="shared" si="2"/>
        <v>0.1875</v>
      </c>
      <c r="R27" s="20">
        <f t="shared" si="3"/>
        <v>0.15</v>
      </c>
      <c r="S27" s="20">
        <f t="shared" si="4"/>
        <v>0.1875</v>
      </c>
      <c r="T27" s="20">
        <f t="shared" si="5"/>
        <v>0.15</v>
      </c>
      <c r="U27" s="20">
        <f t="shared" si="12"/>
        <v>4.7</v>
      </c>
      <c r="V27" s="21">
        <f t="shared" si="6"/>
        <v>0.35000000000000009</v>
      </c>
      <c r="W27" s="21">
        <f t="shared" si="7"/>
        <v>0.87500000000000011</v>
      </c>
      <c r="X27" s="21">
        <f t="shared" si="8"/>
        <v>0.78750000000000009</v>
      </c>
      <c r="Y27" s="20">
        <f t="shared" si="9"/>
        <v>2.35</v>
      </c>
      <c r="Z27" s="20">
        <f t="shared" si="10"/>
        <v>2.875</v>
      </c>
      <c r="AA27" s="20">
        <f t="shared" si="11"/>
        <v>2.5874999999999999</v>
      </c>
    </row>
    <row r="28" spans="2:27" ht="29.4" thickBot="1" x14ac:dyDescent="0.35">
      <c r="B28" s="60" t="s">
        <v>7</v>
      </c>
      <c r="C28" s="61" t="s">
        <v>8</v>
      </c>
      <c r="D28" s="62">
        <f>IF(C28="YES",10,0)</f>
        <v>0</v>
      </c>
      <c r="I28" s="30">
        <v>1027</v>
      </c>
      <c r="J28" s="30" t="s">
        <v>27</v>
      </c>
      <c r="K28" s="31" t="s">
        <v>53</v>
      </c>
      <c r="L28" s="19" t="s">
        <v>367</v>
      </c>
      <c r="M28" s="20">
        <v>1</v>
      </c>
      <c r="N28" s="20">
        <v>0.48</v>
      </c>
      <c r="O28" s="20">
        <f t="shared" si="0"/>
        <v>0.36</v>
      </c>
      <c r="P28" s="20">
        <f t="shared" si="1"/>
        <v>0.15</v>
      </c>
      <c r="Q28" s="20">
        <f t="shared" si="2"/>
        <v>0.11249999999999999</v>
      </c>
      <c r="R28" s="20">
        <f t="shared" si="3"/>
        <v>0.15</v>
      </c>
      <c r="S28" s="20">
        <f t="shared" si="4"/>
        <v>0.11249999999999999</v>
      </c>
      <c r="T28" s="20">
        <f t="shared" si="5"/>
        <v>0.15</v>
      </c>
      <c r="U28" s="20">
        <f t="shared" si="12"/>
        <v>4.3600000000000003</v>
      </c>
      <c r="V28" s="21">
        <f t="shared" si="6"/>
        <v>0.18</v>
      </c>
      <c r="W28" s="21">
        <f t="shared" si="7"/>
        <v>0.55499999999999994</v>
      </c>
      <c r="X28" s="21">
        <f t="shared" si="8"/>
        <v>0.49949999999999994</v>
      </c>
      <c r="Y28" s="20">
        <f t="shared" si="9"/>
        <v>2.1800000000000002</v>
      </c>
      <c r="Z28" s="20">
        <f t="shared" si="10"/>
        <v>2.5549999999999997</v>
      </c>
      <c r="AA28" s="20">
        <f t="shared" si="11"/>
        <v>2.2995000000000001</v>
      </c>
    </row>
    <row r="29" spans="2:27" ht="17.25" customHeight="1" thickBot="1" x14ac:dyDescent="0.35">
      <c r="B29" s="63" t="s">
        <v>14</v>
      </c>
      <c r="C29" s="85">
        <f>IF(D17="Y",IF(D25&lt;0,"Additional Claim Loading Cannot be Negative",IF(VLOOKUP(C2,$I$2:$M$287,5,0)=4,IF(B25="ADDITIONAL_claim_ loading",SUM(D20:D28),(D20+D21+D22+D23+D24+D26+D27+D28)),IF(VLOOKUP(C2,$I$2:$M$287,5,0)=3,IF(B25="ADDITIONAL_claim_ loading",SUM(D20:D28),(D20+D21+D22+D23+D24+D26+D27+D28)),MAX(SUM(D20+D21+D22+D23+D24+D26+D27+D28),-50)))),"DISC/LOADING OPTION SELECTED AS -NO, FEATURE DISC/LOADING NOT TO BE TAKEN")</f>
        <v>-50</v>
      </c>
      <c r="D29" s="86"/>
      <c r="I29" s="30">
        <v>1028</v>
      </c>
      <c r="J29" s="30" t="s">
        <v>27</v>
      </c>
      <c r="K29" s="31" t="s">
        <v>54</v>
      </c>
      <c r="L29" s="19" t="s">
        <v>367</v>
      </c>
      <c r="M29" s="20">
        <v>1</v>
      </c>
      <c r="N29" s="20">
        <v>0.96</v>
      </c>
      <c r="O29" s="20">
        <f t="shared" si="0"/>
        <v>0.72</v>
      </c>
      <c r="P29" s="20">
        <f t="shared" si="1"/>
        <v>0.15</v>
      </c>
      <c r="Q29" s="20">
        <f t="shared" si="2"/>
        <v>0.11249999999999999</v>
      </c>
      <c r="R29" s="20">
        <f t="shared" si="3"/>
        <v>0.15</v>
      </c>
      <c r="S29" s="20">
        <f t="shared" si="4"/>
        <v>0.11249999999999999</v>
      </c>
      <c r="T29" s="20">
        <f t="shared" si="5"/>
        <v>0.15</v>
      </c>
      <c r="U29" s="20">
        <f t="shared" si="12"/>
        <v>4.72</v>
      </c>
      <c r="V29" s="21">
        <f t="shared" si="6"/>
        <v>0.36</v>
      </c>
      <c r="W29" s="21">
        <f t="shared" si="7"/>
        <v>0.7350000000000001</v>
      </c>
      <c r="X29" s="21">
        <f t="shared" si="8"/>
        <v>0.66150000000000009</v>
      </c>
      <c r="Y29" s="20">
        <f t="shared" si="9"/>
        <v>2.36</v>
      </c>
      <c r="Z29" s="20">
        <f t="shared" si="10"/>
        <v>2.7349999999999994</v>
      </c>
      <c r="AA29" s="20">
        <f t="shared" si="11"/>
        <v>2.4614999999999996</v>
      </c>
    </row>
    <row r="30" spans="2:27" ht="29.25" customHeight="1" thickBot="1" x14ac:dyDescent="0.35">
      <c r="B30" s="64" t="s">
        <v>13</v>
      </c>
      <c r="C30" s="79">
        <v>10</v>
      </c>
      <c r="D30" s="80"/>
      <c r="I30" s="30">
        <v>1029</v>
      </c>
      <c r="J30" s="30" t="s">
        <v>27</v>
      </c>
      <c r="K30" s="31" t="s">
        <v>55</v>
      </c>
      <c r="L30" s="19" t="s">
        <v>367</v>
      </c>
      <c r="M30" s="20">
        <v>1</v>
      </c>
      <c r="N30" s="20">
        <v>0.15</v>
      </c>
      <c r="O30" s="20">
        <f t="shared" si="0"/>
        <v>0.11249999999999999</v>
      </c>
      <c r="P30" s="20">
        <f t="shared" si="1"/>
        <v>0.15</v>
      </c>
      <c r="Q30" s="20">
        <f t="shared" si="2"/>
        <v>0.11249999999999999</v>
      </c>
      <c r="R30" s="20">
        <f t="shared" si="3"/>
        <v>0.15</v>
      </c>
      <c r="S30" s="20">
        <f t="shared" si="4"/>
        <v>0.11249999999999999</v>
      </c>
      <c r="T30" s="20">
        <f t="shared" si="5"/>
        <v>0.15</v>
      </c>
      <c r="U30" s="20">
        <f t="shared" si="12"/>
        <v>4.1124999999999998</v>
      </c>
      <c r="V30" s="21">
        <f t="shared" si="6"/>
        <v>5.6249999999999994E-2</v>
      </c>
      <c r="W30" s="21">
        <f t="shared" si="7"/>
        <v>0.43124999999999997</v>
      </c>
      <c r="X30" s="21">
        <f t="shared" si="8"/>
        <v>0.388125</v>
      </c>
      <c r="Y30" s="20">
        <f t="shared" si="9"/>
        <v>2.0562499999999999</v>
      </c>
      <c r="Z30" s="20">
        <f t="shared" si="10"/>
        <v>2.4312499999999995</v>
      </c>
      <c r="AA30" s="20">
        <f t="shared" si="11"/>
        <v>2.1881249999999994</v>
      </c>
    </row>
    <row r="31" spans="2:27" ht="15.75" customHeight="1" x14ac:dyDescent="0.3">
      <c r="I31" s="32">
        <v>2001</v>
      </c>
      <c r="J31" s="32" t="s">
        <v>56</v>
      </c>
      <c r="K31" s="33" t="s">
        <v>57</v>
      </c>
      <c r="L31" s="22" t="s">
        <v>370</v>
      </c>
      <c r="M31" s="20">
        <v>2</v>
      </c>
      <c r="N31" s="20">
        <v>0.82</v>
      </c>
      <c r="O31" s="20">
        <f t="shared" si="0"/>
        <v>0.73799999999999999</v>
      </c>
      <c r="P31" s="20">
        <f t="shared" si="1"/>
        <v>0.25</v>
      </c>
      <c r="Q31" s="20">
        <f t="shared" si="2"/>
        <v>0.22500000000000001</v>
      </c>
      <c r="R31" s="20">
        <f t="shared" si="3"/>
        <v>0.25</v>
      </c>
      <c r="S31" s="20">
        <f t="shared" si="4"/>
        <v>0.22500000000000001</v>
      </c>
      <c r="T31" s="20">
        <f t="shared" si="5"/>
        <v>0.23</v>
      </c>
      <c r="U31" s="20">
        <f t="shared" si="12"/>
        <v>4.7379999999999995</v>
      </c>
      <c r="V31" s="21">
        <f t="shared" si="6"/>
        <v>0.36899999999999999</v>
      </c>
      <c r="W31" s="21">
        <f t="shared" si="7"/>
        <v>1.0489999999999999</v>
      </c>
      <c r="X31" s="21">
        <f t="shared" si="8"/>
        <v>0.94409999999999994</v>
      </c>
      <c r="Y31" s="20">
        <f t="shared" si="9"/>
        <v>2.3689999999999998</v>
      </c>
      <c r="Z31" s="20">
        <f t="shared" si="10"/>
        <v>3.0489999999999999</v>
      </c>
      <c r="AA31" s="20">
        <f t="shared" si="11"/>
        <v>2.7440999999999995</v>
      </c>
    </row>
    <row r="32" spans="2:27" ht="15.75" customHeight="1" thickBot="1" x14ac:dyDescent="0.35">
      <c r="I32" s="30">
        <v>2002</v>
      </c>
      <c r="J32" s="30" t="s">
        <v>56</v>
      </c>
      <c r="K32" s="31" t="s">
        <v>58</v>
      </c>
      <c r="L32" s="19" t="s">
        <v>367</v>
      </c>
      <c r="M32" s="20">
        <v>1</v>
      </c>
      <c r="N32" s="20">
        <v>0.59</v>
      </c>
      <c r="O32" s="20">
        <f t="shared" si="0"/>
        <v>0.4425</v>
      </c>
      <c r="P32" s="20">
        <f t="shared" si="1"/>
        <v>0.25</v>
      </c>
      <c r="Q32" s="20">
        <f t="shared" si="2"/>
        <v>0.1875</v>
      </c>
      <c r="R32" s="20">
        <f t="shared" si="3"/>
        <v>0.25</v>
      </c>
      <c r="S32" s="20">
        <f t="shared" si="4"/>
        <v>0.1875</v>
      </c>
      <c r="T32" s="20">
        <f t="shared" si="5"/>
        <v>0.23</v>
      </c>
      <c r="U32" s="20">
        <f t="shared" si="12"/>
        <v>4.4424999999999999</v>
      </c>
      <c r="V32" s="21">
        <f t="shared" si="6"/>
        <v>0.22125</v>
      </c>
      <c r="W32" s="21">
        <f t="shared" si="7"/>
        <v>0.82625000000000004</v>
      </c>
      <c r="X32" s="21">
        <f t="shared" si="8"/>
        <v>0.74362499999999998</v>
      </c>
      <c r="Y32" s="20">
        <f t="shared" si="9"/>
        <v>2.2212499999999999</v>
      </c>
      <c r="Z32" s="20">
        <f t="shared" si="10"/>
        <v>2.8262499999999999</v>
      </c>
      <c r="AA32" s="20">
        <f t="shared" si="11"/>
        <v>2.543625</v>
      </c>
    </row>
    <row r="33" spans="2:27" x14ac:dyDescent="0.3">
      <c r="B33" s="76" t="s">
        <v>346</v>
      </c>
      <c r="C33" s="77"/>
      <c r="D33" s="65">
        <f>IF(C4="Select","EQ Zone Not Selected",IF(D15="NO",(VLOOKUP(C2,I2:AA287,7,0)),(VLOOKUP(C2,I2:AA287,13,0))))</f>
        <v>0.84000000000000008</v>
      </c>
      <c r="I33" s="30">
        <v>2003</v>
      </c>
      <c r="J33" s="30" t="s">
        <v>56</v>
      </c>
      <c r="K33" s="31" t="s">
        <v>59</v>
      </c>
      <c r="L33" s="19" t="s">
        <v>367</v>
      </c>
      <c r="M33" s="20">
        <v>1</v>
      </c>
      <c r="N33" s="20">
        <v>0.71</v>
      </c>
      <c r="O33" s="20">
        <f t="shared" si="0"/>
        <v>0.53249999999999997</v>
      </c>
      <c r="P33" s="20">
        <f t="shared" si="1"/>
        <v>0.25</v>
      </c>
      <c r="Q33" s="20">
        <f t="shared" si="2"/>
        <v>0.1875</v>
      </c>
      <c r="R33" s="20">
        <f t="shared" si="3"/>
        <v>0.25</v>
      </c>
      <c r="S33" s="20">
        <f t="shared" si="4"/>
        <v>0.1875</v>
      </c>
      <c r="T33" s="20">
        <f t="shared" si="5"/>
        <v>0.23</v>
      </c>
      <c r="U33" s="20">
        <f t="shared" si="12"/>
        <v>4.5324999999999998</v>
      </c>
      <c r="V33" s="21">
        <f t="shared" si="6"/>
        <v>0.26624999999999999</v>
      </c>
      <c r="W33" s="21">
        <f t="shared" si="7"/>
        <v>0.87124999999999997</v>
      </c>
      <c r="X33" s="21">
        <f t="shared" si="8"/>
        <v>0.78412499999999996</v>
      </c>
      <c r="Y33" s="20">
        <f t="shared" si="9"/>
        <v>2.2662499999999999</v>
      </c>
      <c r="Z33" s="20">
        <f t="shared" si="10"/>
        <v>2.8712499999999999</v>
      </c>
      <c r="AA33" s="20">
        <f t="shared" si="11"/>
        <v>2.5841249999999998</v>
      </c>
    </row>
    <row r="34" spans="2:27" x14ac:dyDescent="0.3">
      <c r="B34" s="74" t="s">
        <v>350</v>
      </c>
      <c r="C34" s="75"/>
      <c r="D34" s="66">
        <f>C29</f>
        <v>-50</v>
      </c>
      <c r="I34" s="30">
        <v>2004</v>
      </c>
      <c r="J34" s="30" t="s">
        <v>56</v>
      </c>
      <c r="K34" s="31" t="s">
        <v>60</v>
      </c>
      <c r="L34" s="19" t="s">
        <v>367</v>
      </c>
      <c r="M34" s="20">
        <v>1</v>
      </c>
      <c r="N34" s="20">
        <v>1.98</v>
      </c>
      <c r="O34" s="20">
        <f t="shared" si="0"/>
        <v>1.4849999999999999</v>
      </c>
      <c r="P34" s="20">
        <f t="shared" si="1"/>
        <v>0.25</v>
      </c>
      <c r="Q34" s="20">
        <f t="shared" si="2"/>
        <v>0.1875</v>
      </c>
      <c r="R34" s="20">
        <f t="shared" si="3"/>
        <v>0.25</v>
      </c>
      <c r="S34" s="20">
        <f t="shared" si="4"/>
        <v>0.1875</v>
      </c>
      <c r="T34" s="20">
        <f t="shared" si="5"/>
        <v>0.23</v>
      </c>
      <c r="U34" s="20">
        <f t="shared" si="12"/>
        <v>5.4849999999999994</v>
      </c>
      <c r="V34" s="21">
        <f t="shared" si="6"/>
        <v>0.74249999999999983</v>
      </c>
      <c r="W34" s="21">
        <f t="shared" si="7"/>
        <v>1.3474999999999997</v>
      </c>
      <c r="X34" s="21">
        <f t="shared" si="8"/>
        <v>1.2127499999999998</v>
      </c>
      <c r="Y34" s="20">
        <f t="shared" si="9"/>
        <v>2.7424999999999993</v>
      </c>
      <c r="Z34" s="20">
        <f t="shared" si="10"/>
        <v>3.3474999999999993</v>
      </c>
      <c r="AA34" s="20">
        <f t="shared" si="11"/>
        <v>3.0127499999999992</v>
      </c>
    </row>
    <row r="35" spans="2:27" x14ac:dyDescent="0.3">
      <c r="B35" s="74" t="s">
        <v>351</v>
      </c>
      <c r="C35" s="75"/>
      <c r="D35" s="67">
        <f>IF(D34="DISC/LOADING OPTION SELECTED AS -NO, FEATURE DISC/LOADING NOT TO BE TAKEN",D33,(D33*D34/100+D33))</f>
        <v>0.42</v>
      </c>
      <c r="I35" s="30">
        <v>2005</v>
      </c>
      <c r="J35" s="30" t="s">
        <v>56</v>
      </c>
      <c r="K35" s="31" t="s">
        <v>61</v>
      </c>
      <c r="L35" s="19" t="s">
        <v>367</v>
      </c>
      <c r="M35" s="20">
        <v>1</v>
      </c>
      <c r="N35" s="20">
        <v>0.98</v>
      </c>
      <c r="O35" s="20">
        <f t="shared" si="0"/>
        <v>0.73499999999999999</v>
      </c>
      <c r="P35" s="20">
        <f t="shared" si="1"/>
        <v>0.25</v>
      </c>
      <c r="Q35" s="20">
        <f t="shared" si="2"/>
        <v>0.1875</v>
      </c>
      <c r="R35" s="20">
        <f t="shared" si="3"/>
        <v>0.25</v>
      </c>
      <c r="S35" s="20">
        <f t="shared" si="4"/>
        <v>0.1875</v>
      </c>
      <c r="T35" s="20">
        <f t="shared" si="5"/>
        <v>0.23</v>
      </c>
      <c r="U35" s="20">
        <f t="shared" si="12"/>
        <v>4.7350000000000003</v>
      </c>
      <c r="V35" s="21">
        <f t="shared" si="6"/>
        <v>0.36749999999999999</v>
      </c>
      <c r="W35" s="21">
        <f t="shared" si="7"/>
        <v>0.97250000000000003</v>
      </c>
      <c r="X35" s="21">
        <f t="shared" si="8"/>
        <v>0.87525000000000008</v>
      </c>
      <c r="Y35" s="20">
        <f t="shared" si="9"/>
        <v>2.3675000000000002</v>
      </c>
      <c r="Z35" s="20">
        <f t="shared" si="10"/>
        <v>2.9725000000000001</v>
      </c>
      <c r="AA35" s="20">
        <f t="shared" si="11"/>
        <v>2.6752500000000001</v>
      </c>
    </row>
    <row r="36" spans="2:27" x14ac:dyDescent="0.3">
      <c r="B36" s="74" t="s">
        <v>347</v>
      </c>
      <c r="C36" s="75"/>
      <c r="D36" s="67">
        <f>IF(D33="EQ Zone Not Selected","EQ Zone Not Selected",VLOOKUP(C2,I2:AA287,11,0))</f>
        <v>0.1875</v>
      </c>
      <c r="I36" s="30"/>
      <c r="J36" s="30"/>
      <c r="K36" s="31"/>
      <c r="L36" s="19">
        <v>0</v>
      </c>
      <c r="M36" s="20"/>
      <c r="N36" s="20"/>
      <c r="O36" s="20"/>
      <c r="P36" s="20"/>
      <c r="Q36" s="20"/>
      <c r="R36" s="20"/>
      <c r="S36" s="20"/>
      <c r="T36" s="20"/>
      <c r="U36" s="20"/>
      <c r="V36" s="21"/>
      <c r="W36" s="21"/>
      <c r="X36" s="21"/>
      <c r="Y36" s="20"/>
      <c r="Z36" s="20"/>
      <c r="AA36" s="20"/>
    </row>
    <row r="37" spans="2:27" x14ac:dyDescent="0.3">
      <c r="B37" s="74" t="s">
        <v>348</v>
      </c>
      <c r="C37" s="75"/>
      <c r="D37" s="67">
        <f>IF(D33="EQ Zone Not Selected","EQ Zone Not Selected",VLOOKUP(C2,I2:AA287,9,0))</f>
        <v>0.26249999999999996</v>
      </c>
      <c r="I37" s="30"/>
      <c r="J37" s="30"/>
      <c r="K37" s="31"/>
      <c r="L37" s="19">
        <v>0</v>
      </c>
      <c r="M37" s="20"/>
      <c r="N37" s="20"/>
      <c r="O37" s="20"/>
      <c r="P37" s="20"/>
      <c r="Q37" s="20"/>
      <c r="R37" s="20"/>
      <c r="S37" s="20"/>
      <c r="T37" s="20"/>
      <c r="U37" s="20"/>
      <c r="V37" s="21"/>
      <c r="W37" s="21"/>
      <c r="X37" s="21"/>
      <c r="Y37" s="20"/>
      <c r="Z37" s="20"/>
      <c r="AA37" s="20"/>
    </row>
    <row r="38" spans="2:27" ht="16.5" customHeight="1" x14ac:dyDescent="0.3">
      <c r="B38" s="74" t="s">
        <v>349</v>
      </c>
      <c r="C38" s="75"/>
      <c r="D38" s="67">
        <f>IF(C5="Flexi_BS", IF(C6="Y",(IF(D33="EQ Zone Not Selected","EQ Zone Not Selected",VLOOKUP(C2,I2:AA287,12,0))),(IF(D33="EQ Zone Not Selected","EQ Zone Not Selected",0))),(IF(C5="Flexi_BL", (IF(C6="Y",(IF(D33="EQ Zone Not Selected","EQ Zone Not Selected",VLOOKUP(C2,I2:AA287,12,0))),(IF(D33="EQ Zone Not Selected","EQ Zone Not Selected",0)))),(IF(D33="EQ Zone Not Selected","EQ Zone Not Selected",VLOOKUP(C2,I2:AA287,12,0))))))</f>
        <v>0</v>
      </c>
      <c r="I38" s="32">
        <v>2006</v>
      </c>
      <c r="J38" s="32" t="s">
        <v>56</v>
      </c>
      <c r="K38" s="33" t="s">
        <v>62</v>
      </c>
      <c r="L38" s="22" t="s">
        <v>370</v>
      </c>
      <c r="M38" s="20">
        <v>2</v>
      </c>
      <c r="N38" s="20">
        <v>0.28999999999999998</v>
      </c>
      <c r="O38" s="20">
        <f t="shared" si="0"/>
        <v>0.26100000000000001</v>
      </c>
      <c r="P38" s="20">
        <f t="shared" si="1"/>
        <v>0.25</v>
      </c>
      <c r="Q38" s="20">
        <f t="shared" si="2"/>
        <v>0.22500000000000001</v>
      </c>
      <c r="R38" s="20">
        <f t="shared" si="3"/>
        <v>0.25</v>
      </c>
      <c r="S38" s="20">
        <f t="shared" si="4"/>
        <v>0.22500000000000001</v>
      </c>
      <c r="T38" s="20">
        <f t="shared" si="5"/>
        <v>0.23</v>
      </c>
      <c r="U38" s="20">
        <f t="shared" si="12"/>
        <v>4.2610000000000001</v>
      </c>
      <c r="V38" s="21">
        <f t="shared" ref="V38:V101" si="14">IF($D$17="Y",O38+($C$29*O38/100),O38)</f>
        <v>0.1305</v>
      </c>
      <c r="W38" s="21">
        <f t="shared" si="7"/>
        <v>0.8105</v>
      </c>
      <c r="X38" s="21">
        <f t="shared" ref="X38:X63" si="15">IF($C$30&gt;0,W38*(100-$C$30)/100,W38)</f>
        <v>0.72944999999999993</v>
      </c>
      <c r="Y38" s="20">
        <f t="shared" ref="Y38:Y101" si="16">IF($D$17="Y",U38+($C$29*U38/100),U38)</f>
        <v>2.1305000000000001</v>
      </c>
      <c r="Z38" s="20">
        <f t="shared" si="10"/>
        <v>2.8105000000000002</v>
      </c>
      <c r="AA38" s="20">
        <f t="shared" ref="AA38:AA63" si="17">IF($C$30&gt;0,Z38*(100-$C$30)/100,Z38)</f>
        <v>2.5294500000000002</v>
      </c>
    </row>
    <row r="39" spans="2:27" x14ac:dyDescent="0.3">
      <c r="B39" s="74" t="s">
        <v>333</v>
      </c>
      <c r="C39" s="75"/>
      <c r="D39" s="3">
        <f>SUM(D35:D38)*(100-C30)/100</f>
        <v>0.78299999999999981</v>
      </c>
      <c r="I39" s="30">
        <v>2008</v>
      </c>
      <c r="J39" s="30" t="s">
        <v>56</v>
      </c>
      <c r="K39" s="31" t="s">
        <v>63</v>
      </c>
      <c r="L39" s="19" t="s">
        <v>367</v>
      </c>
      <c r="M39" s="20">
        <v>1</v>
      </c>
      <c r="N39" s="20">
        <v>0.6</v>
      </c>
      <c r="O39" s="20">
        <f t="shared" si="0"/>
        <v>0.44999999999999996</v>
      </c>
      <c r="P39" s="20">
        <f t="shared" si="1"/>
        <v>0.25</v>
      </c>
      <c r="Q39" s="20">
        <f t="shared" si="2"/>
        <v>0.1875</v>
      </c>
      <c r="R39" s="20">
        <f t="shared" si="3"/>
        <v>0.25</v>
      </c>
      <c r="S39" s="20">
        <f t="shared" si="4"/>
        <v>0.1875</v>
      </c>
      <c r="T39" s="20">
        <f t="shared" si="5"/>
        <v>0.23</v>
      </c>
      <c r="U39" s="20">
        <f t="shared" si="12"/>
        <v>4.45</v>
      </c>
      <c r="V39" s="21">
        <f t="shared" si="14"/>
        <v>0.22499999999999998</v>
      </c>
      <c r="W39" s="21">
        <f t="shared" si="7"/>
        <v>0.83</v>
      </c>
      <c r="X39" s="21">
        <f t="shared" si="15"/>
        <v>0.747</v>
      </c>
      <c r="Y39" s="20">
        <f t="shared" si="16"/>
        <v>2.2250000000000001</v>
      </c>
      <c r="Z39" s="20">
        <f t="shared" si="10"/>
        <v>2.83</v>
      </c>
      <c r="AA39" s="20">
        <f t="shared" si="17"/>
        <v>2.5470000000000002</v>
      </c>
    </row>
    <row r="40" spans="2:27" x14ac:dyDescent="0.3">
      <c r="B40" s="74" t="s">
        <v>352</v>
      </c>
      <c r="C40" s="75"/>
      <c r="D40" s="12" t="s">
        <v>343</v>
      </c>
      <c r="I40" s="32">
        <v>2007</v>
      </c>
      <c r="J40" s="32" t="s">
        <v>56</v>
      </c>
      <c r="K40" s="33" t="s">
        <v>64</v>
      </c>
      <c r="L40" s="22" t="s">
        <v>369</v>
      </c>
      <c r="M40" s="20">
        <v>4</v>
      </c>
      <c r="N40" s="20">
        <v>1.06</v>
      </c>
      <c r="O40" s="20">
        <f t="shared" si="0"/>
        <v>2.7560000000000002</v>
      </c>
      <c r="P40" s="20">
        <f t="shared" si="1"/>
        <v>0.25</v>
      </c>
      <c r="Q40" s="20">
        <f t="shared" si="2"/>
        <v>0.65</v>
      </c>
      <c r="R40" s="20">
        <f t="shared" si="3"/>
        <v>0.25</v>
      </c>
      <c r="S40" s="20">
        <f t="shared" si="4"/>
        <v>0.65</v>
      </c>
      <c r="T40" s="20">
        <f t="shared" si="5"/>
        <v>0.23</v>
      </c>
      <c r="U40" s="20">
        <f t="shared" si="12"/>
        <v>6.7560000000000002</v>
      </c>
      <c r="V40" s="21">
        <f t="shared" si="14"/>
        <v>1.3780000000000001</v>
      </c>
      <c r="W40" s="21">
        <f t="shared" si="7"/>
        <v>2.9079999999999999</v>
      </c>
      <c r="X40" s="21">
        <f t="shared" si="15"/>
        <v>2.6171999999999995</v>
      </c>
      <c r="Y40" s="20">
        <f t="shared" si="16"/>
        <v>3.3780000000000001</v>
      </c>
      <c r="Z40" s="20">
        <f t="shared" si="10"/>
        <v>4.9080000000000013</v>
      </c>
      <c r="AA40" s="20">
        <f t="shared" si="17"/>
        <v>4.4172000000000011</v>
      </c>
    </row>
    <row r="41" spans="2:27" x14ac:dyDescent="0.3">
      <c r="B41" s="74" t="s">
        <v>345</v>
      </c>
      <c r="C41" s="75"/>
      <c r="D41" s="3">
        <f>IF(D40="Y",D39*110%,D39)</f>
        <v>0.86129999999999984</v>
      </c>
      <c r="I41" s="30">
        <v>2009</v>
      </c>
      <c r="J41" s="30" t="s">
        <v>56</v>
      </c>
      <c r="K41" s="31" t="s">
        <v>65</v>
      </c>
      <c r="L41" s="19" t="s">
        <v>367</v>
      </c>
      <c r="M41" s="20">
        <v>1</v>
      </c>
      <c r="N41" s="20">
        <v>0.94</v>
      </c>
      <c r="O41" s="20">
        <f t="shared" si="0"/>
        <v>0.70499999999999996</v>
      </c>
      <c r="P41" s="20">
        <f t="shared" si="1"/>
        <v>0.25</v>
      </c>
      <c r="Q41" s="20">
        <f t="shared" si="2"/>
        <v>0.1875</v>
      </c>
      <c r="R41" s="20">
        <f t="shared" si="3"/>
        <v>0.25</v>
      </c>
      <c r="S41" s="20">
        <f t="shared" si="4"/>
        <v>0.1875</v>
      </c>
      <c r="T41" s="20">
        <f t="shared" si="5"/>
        <v>0.23</v>
      </c>
      <c r="U41" s="20">
        <f t="shared" si="12"/>
        <v>4.7050000000000001</v>
      </c>
      <c r="V41" s="21">
        <f t="shared" si="14"/>
        <v>0.35249999999999998</v>
      </c>
      <c r="W41" s="21">
        <f t="shared" si="7"/>
        <v>0.95750000000000002</v>
      </c>
      <c r="X41" s="21">
        <f t="shared" si="15"/>
        <v>0.86175000000000002</v>
      </c>
      <c r="Y41" s="20">
        <f t="shared" si="16"/>
        <v>2.3525</v>
      </c>
      <c r="Z41" s="20">
        <f t="shared" si="10"/>
        <v>2.9575</v>
      </c>
      <c r="AA41" s="20">
        <f t="shared" si="17"/>
        <v>2.6617500000000001</v>
      </c>
    </row>
    <row r="42" spans="2:27" x14ac:dyDescent="0.3">
      <c r="B42" s="74" t="s">
        <v>339</v>
      </c>
      <c r="C42" s="75"/>
      <c r="D42" s="23">
        <f>(D41*D13)/1000</f>
        <v>430.64999999999992</v>
      </c>
      <c r="I42" s="30">
        <v>2010</v>
      </c>
      <c r="J42" s="30" t="s">
        <v>56</v>
      </c>
      <c r="K42" s="31" t="s">
        <v>66</v>
      </c>
      <c r="L42" s="19" t="s">
        <v>367</v>
      </c>
      <c r="M42" s="20">
        <v>1</v>
      </c>
      <c r="N42" s="20">
        <v>0.55000000000000004</v>
      </c>
      <c r="O42" s="20">
        <f t="shared" si="0"/>
        <v>0.41250000000000003</v>
      </c>
      <c r="P42" s="20">
        <f t="shared" si="1"/>
        <v>0.25</v>
      </c>
      <c r="Q42" s="20">
        <f t="shared" si="2"/>
        <v>0.1875</v>
      </c>
      <c r="R42" s="20">
        <f t="shared" si="3"/>
        <v>0.25</v>
      </c>
      <c r="S42" s="20">
        <f t="shared" si="4"/>
        <v>0.1875</v>
      </c>
      <c r="T42" s="20">
        <f t="shared" si="5"/>
        <v>0.23</v>
      </c>
      <c r="U42" s="20">
        <f t="shared" si="12"/>
        <v>4.4124999999999996</v>
      </c>
      <c r="V42" s="21">
        <f t="shared" si="14"/>
        <v>0.20625000000000004</v>
      </c>
      <c r="W42" s="21">
        <f t="shared" si="7"/>
        <v>0.81125000000000003</v>
      </c>
      <c r="X42" s="21">
        <f t="shared" si="15"/>
        <v>0.73012500000000002</v>
      </c>
      <c r="Y42" s="20">
        <f t="shared" si="16"/>
        <v>2.2062499999999998</v>
      </c>
      <c r="Z42" s="20">
        <f t="shared" si="10"/>
        <v>2.8112499999999998</v>
      </c>
      <c r="AA42" s="20">
        <f t="shared" si="17"/>
        <v>2.530125</v>
      </c>
    </row>
    <row r="43" spans="2:27" x14ac:dyDescent="0.3">
      <c r="B43" s="72" t="s">
        <v>340</v>
      </c>
      <c r="C43" s="73"/>
      <c r="D43" s="68">
        <f>18%*D42</f>
        <v>77.516999999999982</v>
      </c>
      <c r="I43" s="30">
        <v>2016</v>
      </c>
      <c r="J43" s="30" t="s">
        <v>56</v>
      </c>
      <c r="K43" s="31" t="s">
        <v>73</v>
      </c>
      <c r="L43" s="19" t="s">
        <v>367</v>
      </c>
      <c r="M43" s="20">
        <v>1</v>
      </c>
      <c r="N43" s="20">
        <v>0.78</v>
      </c>
      <c r="O43" s="20">
        <f t="shared" si="0"/>
        <v>0.58499999999999996</v>
      </c>
      <c r="P43" s="20">
        <f t="shared" si="1"/>
        <v>0.25</v>
      </c>
      <c r="Q43" s="20">
        <f t="shared" si="2"/>
        <v>0.1875</v>
      </c>
      <c r="R43" s="20">
        <f t="shared" si="3"/>
        <v>0.25</v>
      </c>
      <c r="S43" s="20">
        <f t="shared" si="4"/>
        <v>0.1875</v>
      </c>
      <c r="T43" s="20">
        <f t="shared" si="5"/>
        <v>0.23</v>
      </c>
      <c r="U43" s="20">
        <f t="shared" si="12"/>
        <v>4.585</v>
      </c>
      <c r="V43" s="21">
        <f t="shared" si="14"/>
        <v>0.29249999999999998</v>
      </c>
      <c r="W43" s="21">
        <f t="shared" si="7"/>
        <v>0.89749999999999996</v>
      </c>
      <c r="X43" s="21">
        <f t="shared" si="15"/>
        <v>0.80774999999999997</v>
      </c>
      <c r="Y43" s="20">
        <f t="shared" si="16"/>
        <v>2.2925</v>
      </c>
      <c r="Z43" s="20">
        <f t="shared" si="10"/>
        <v>2.8975</v>
      </c>
      <c r="AA43" s="20">
        <f t="shared" si="17"/>
        <v>2.6077499999999998</v>
      </c>
    </row>
    <row r="44" spans="2:27" ht="15" thickBot="1" x14ac:dyDescent="0.35">
      <c r="B44" s="70" t="s">
        <v>341</v>
      </c>
      <c r="C44" s="71"/>
      <c r="D44" s="24">
        <f>D42+D43</f>
        <v>508.16699999999992</v>
      </c>
      <c r="I44" s="30">
        <v>2017</v>
      </c>
      <c r="J44" s="30" t="s">
        <v>56</v>
      </c>
      <c r="K44" s="31" t="s">
        <v>74</v>
      </c>
      <c r="L44" s="19" t="s">
        <v>367</v>
      </c>
      <c r="M44" s="20">
        <v>1</v>
      </c>
      <c r="N44" s="20">
        <v>1.18</v>
      </c>
      <c r="O44" s="20">
        <f t="shared" si="0"/>
        <v>0.88500000000000001</v>
      </c>
      <c r="P44" s="20">
        <f t="shared" si="1"/>
        <v>0.25</v>
      </c>
      <c r="Q44" s="20">
        <f t="shared" si="2"/>
        <v>0.1875</v>
      </c>
      <c r="R44" s="20">
        <f t="shared" si="3"/>
        <v>0.25</v>
      </c>
      <c r="S44" s="20">
        <f t="shared" si="4"/>
        <v>0.1875</v>
      </c>
      <c r="T44" s="20">
        <f t="shared" si="5"/>
        <v>0.23</v>
      </c>
      <c r="U44" s="20">
        <f t="shared" si="12"/>
        <v>4.8849999999999998</v>
      </c>
      <c r="V44" s="21">
        <f t="shared" si="14"/>
        <v>0.4425</v>
      </c>
      <c r="W44" s="21">
        <f t="shared" si="7"/>
        <v>1.0474999999999999</v>
      </c>
      <c r="X44" s="21">
        <f t="shared" si="15"/>
        <v>0.94274999999999987</v>
      </c>
      <c r="Y44" s="20">
        <f t="shared" si="16"/>
        <v>2.4424999999999999</v>
      </c>
      <c r="Z44" s="20">
        <f t="shared" si="10"/>
        <v>3.0474999999999999</v>
      </c>
      <c r="AA44" s="20">
        <f t="shared" si="17"/>
        <v>2.7427499999999996</v>
      </c>
    </row>
    <row r="45" spans="2:27" x14ac:dyDescent="0.3">
      <c r="I45" s="30">
        <v>2018</v>
      </c>
      <c r="J45" s="30" t="s">
        <v>56</v>
      </c>
      <c r="K45" s="31" t="s">
        <v>75</v>
      </c>
      <c r="L45" s="19" t="s">
        <v>367</v>
      </c>
      <c r="M45" s="20">
        <v>1</v>
      </c>
      <c r="N45" s="20">
        <v>0.82</v>
      </c>
      <c r="O45" s="20">
        <f t="shared" si="0"/>
        <v>0.61499999999999999</v>
      </c>
      <c r="P45" s="20">
        <f t="shared" si="1"/>
        <v>0.25</v>
      </c>
      <c r="Q45" s="20">
        <f t="shared" si="2"/>
        <v>0.1875</v>
      </c>
      <c r="R45" s="20">
        <f t="shared" si="3"/>
        <v>0.25</v>
      </c>
      <c r="S45" s="20">
        <f t="shared" si="4"/>
        <v>0.1875</v>
      </c>
      <c r="T45" s="20">
        <f t="shared" si="5"/>
        <v>0.23</v>
      </c>
      <c r="U45" s="20">
        <f t="shared" si="12"/>
        <v>4.6150000000000002</v>
      </c>
      <c r="V45" s="21">
        <f t="shared" si="14"/>
        <v>0.3075</v>
      </c>
      <c r="W45" s="21">
        <f t="shared" si="7"/>
        <v>0.91249999999999998</v>
      </c>
      <c r="X45" s="21">
        <f t="shared" si="15"/>
        <v>0.82125000000000004</v>
      </c>
      <c r="Y45" s="20">
        <f t="shared" si="16"/>
        <v>2.3075000000000001</v>
      </c>
      <c r="Z45" s="20">
        <f t="shared" si="10"/>
        <v>2.9125000000000001</v>
      </c>
      <c r="AA45" s="20">
        <f t="shared" si="17"/>
        <v>2.6212499999999999</v>
      </c>
    </row>
    <row r="46" spans="2:27" ht="28.8" x14ac:dyDescent="0.3">
      <c r="I46" s="32">
        <v>2019</v>
      </c>
      <c r="J46" s="32" t="s">
        <v>56</v>
      </c>
      <c r="K46" s="33" t="s">
        <v>76</v>
      </c>
      <c r="L46" s="22" t="s">
        <v>369</v>
      </c>
      <c r="M46" s="20">
        <v>4</v>
      </c>
      <c r="N46" s="20">
        <v>1.64</v>
      </c>
      <c r="O46" s="20">
        <f t="shared" si="0"/>
        <v>4.2640000000000002</v>
      </c>
      <c r="P46" s="20">
        <f t="shared" si="1"/>
        <v>0.25</v>
      </c>
      <c r="Q46" s="20">
        <f t="shared" si="2"/>
        <v>0.65</v>
      </c>
      <c r="R46" s="20">
        <f t="shared" si="3"/>
        <v>0.25</v>
      </c>
      <c r="S46" s="20">
        <f t="shared" si="4"/>
        <v>0.65</v>
      </c>
      <c r="T46" s="20">
        <f t="shared" si="5"/>
        <v>0.23</v>
      </c>
      <c r="U46" s="20">
        <f t="shared" si="12"/>
        <v>8.2639999999999993</v>
      </c>
      <c r="V46" s="21">
        <f t="shared" si="14"/>
        <v>2.1320000000000001</v>
      </c>
      <c r="W46" s="21">
        <f t="shared" si="7"/>
        <v>3.6619999999999999</v>
      </c>
      <c r="X46" s="21">
        <f t="shared" si="15"/>
        <v>3.2957999999999998</v>
      </c>
      <c r="Y46" s="20">
        <f t="shared" si="16"/>
        <v>4.1319999999999997</v>
      </c>
      <c r="Z46" s="20">
        <f t="shared" si="10"/>
        <v>5.6620000000000008</v>
      </c>
      <c r="AA46" s="20">
        <f t="shared" si="17"/>
        <v>5.0958000000000006</v>
      </c>
    </row>
    <row r="47" spans="2:27" x14ac:dyDescent="0.3">
      <c r="I47" s="32">
        <v>2020</v>
      </c>
      <c r="J47" s="32" t="s">
        <v>56</v>
      </c>
      <c r="K47" s="33" t="s">
        <v>77</v>
      </c>
      <c r="L47" s="22" t="s">
        <v>368</v>
      </c>
      <c r="M47" s="20">
        <v>3</v>
      </c>
      <c r="N47" s="20">
        <v>1.36</v>
      </c>
      <c r="O47" s="20">
        <f t="shared" si="0"/>
        <v>1.7000000000000002</v>
      </c>
      <c r="P47" s="20">
        <f t="shared" si="1"/>
        <v>0.25</v>
      </c>
      <c r="Q47" s="20">
        <f t="shared" si="2"/>
        <v>0.3125</v>
      </c>
      <c r="R47" s="20">
        <f t="shared" si="3"/>
        <v>0.25</v>
      </c>
      <c r="S47" s="20">
        <f t="shared" si="4"/>
        <v>0.3125</v>
      </c>
      <c r="T47" s="20">
        <f t="shared" si="5"/>
        <v>0.23</v>
      </c>
      <c r="U47" s="20">
        <f t="shared" si="12"/>
        <v>5.7</v>
      </c>
      <c r="V47" s="21">
        <f t="shared" si="14"/>
        <v>0.85000000000000009</v>
      </c>
      <c r="W47" s="21">
        <f t="shared" si="7"/>
        <v>1.7050000000000001</v>
      </c>
      <c r="X47" s="21">
        <f t="shared" si="15"/>
        <v>1.5345000000000002</v>
      </c>
      <c r="Y47" s="20">
        <f t="shared" si="16"/>
        <v>2.85</v>
      </c>
      <c r="Z47" s="20">
        <f t="shared" si="10"/>
        <v>3.7050000000000001</v>
      </c>
      <c r="AA47" s="20">
        <f t="shared" si="17"/>
        <v>3.3344999999999998</v>
      </c>
    </row>
    <row r="48" spans="2:27" x14ac:dyDescent="0.3">
      <c r="I48" s="30">
        <v>2021</v>
      </c>
      <c r="J48" s="30" t="s">
        <v>56</v>
      </c>
      <c r="K48" s="31" t="s">
        <v>78</v>
      </c>
      <c r="L48" s="19" t="s">
        <v>367</v>
      </c>
      <c r="M48" s="20">
        <v>1</v>
      </c>
      <c r="N48" s="20">
        <v>1.07</v>
      </c>
      <c r="O48" s="20">
        <f t="shared" si="0"/>
        <v>0.80249999999999999</v>
      </c>
      <c r="P48" s="20">
        <f t="shared" si="1"/>
        <v>0.25</v>
      </c>
      <c r="Q48" s="20">
        <f t="shared" si="2"/>
        <v>0.1875</v>
      </c>
      <c r="R48" s="20">
        <f t="shared" si="3"/>
        <v>0.25</v>
      </c>
      <c r="S48" s="20">
        <f t="shared" si="4"/>
        <v>0.1875</v>
      </c>
      <c r="T48" s="20">
        <f t="shared" si="5"/>
        <v>0.23</v>
      </c>
      <c r="U48" s="20">
        <f t="shared" si="12"/>
        <v>4.8025000000000002</v>
      </c>
      <c r="V48" s="21">
        <f t="shared" si="14"/>
        <v>0.40125</v>
      </c>
      <c r="W48" s="21">
        <f t="shared" si="7"/>
        <v>1.0062500000000001</v>
      </c>
      <c r="X48" s="21">
        <f t="shared" si="15"/>
        <v>0.90562500000000012</v>
      </c>
      <c r="Y48" s="20">
        <f t="shared" si="16"/>
        <v>2.4012500000000001</v>
      </c>
      <c r="Z48" s="20">
        <f t="shared" si="10"/>
        <v>3.0062500000000001</v>
      </c>
      <c r="AA48" s="20">
        <f t="shared" si="17"/>
        <v>2.7056249999999999</v>
      </c>
    </row>
    <row r="49" spans="9:27" x14ac:dyDescent="0.3">
      <c r="I49" s="32">
        <v>2022</v>
      </c>
      <c r="J49" s="32" t="s">
        <v>56</v>
      </c>
      <c r="K49" s="33" t="s">
        <v>79</v>
      </c>
      <c r="L49" s="22" t="s">
        <v>368</v>
      </c>
      <c r="M49" s="20">
        <v>3</v>
      </c>
      <c r="N49" s="20">
        <v>0.41</v>
      </c>
      <c r="O49" s="20">
        <f t="shared" si="0"/>
        <v>0.51249999999999996</v>
      </c>
      <c r="P49" s="20">
        <f t="shared" si="1"/>
        <v>0.25</v>
      </c>
      <c r="Q49" s="20">
        <f t="shared" si="2"/>
        <v>0.3125</v>
      </c>
      <c r="R49" s="20">
        <f t="shared" si="3"/>
        <v>0.25</v>
      </c>
      <c r="S49" s="20">
        <f t="shared" si="4"/>
        <v>0.3125</v>
      </c>
      <c r="T49" s="20">
        <f t="shared" si="5"/>
        <v>0.23</v>
      </c>
      <c r="U49" s="20">
        <f t="shared" si="12"/>
        <v>4.5125000000000002</v>
      </c>
      <c r="V49" s="21">
        <f t="shared" si="14"/>
        <v>0.25624999999999998</v>
      </c>
      <c r="W49" s="21">
        <f t="shared" si="7"/>
        <v>1.1112500000000001</v>
      </c>
      <c r="X49" s="21">
        <f t="shared" si="15"/>
        <v>1.0001249999999999</v>
      </c>
      <c r="Y49" s="20">
        <f t="shared" si="16"/>
        <v>2.2562500000000001</v>
      </c>
      <c r="Z49" s="20">
        <f t="shared" si="10"/>
        <v>3.1112500000000001</v>
      </c>
      <c r="AA49" s="20">
        <f t="shared" si="17"/>
        <v>2.800125</v>
      </c>
    </row>
    <row r="50" spans="9:27" x14ac:dyDescent="0.3">
      <c r="I50" s="30">
        <v>2023</v>
      </c>
      <c r="J50" s="30" t="s">
        <v>56</v>
      </c>
      <c r="K50" s="31" t="s">
        <v>80</v>
      </c>
      <c r="L50" s="19" t="s">
        <v>367</v>
      </c>
      <c r="M50" s="20">
        <v>1</v>
      </c>
      <c r="N50" s="20">
        <v>0.19</v>
      </c>
      <c r="O50" s="20">
        <f t="shared" si="0"/>
        <v>0.14250000000000002</v>
      </c>
      <c r="P50" s="20">
        <f t="shared" si="1"/>
        <v>0.25</v>
      </c>
      <c r="Q50" s="20">
        <f t="shared" si="2"/>
        <v>0.1875</v>
      </c>
      <c r="R50" s="20">
        <f t="shared" si="3"/>
        <v>0.25</v>
      </c>
      <c r="S50" s="20">
        <f t="shared" si="4"/>
        <v>0.1875</v>
      </c>
      <c r="T50" s="20">
        <f t="shared" si="5"/>
        <v>0.23</v>
      </c>
      <c r="U50" s="20">
        <f t="shared" si="12"/>
        <v>4.1425000000000001</v>
      </c>
      <c r="V50" s="21">
        <f t="shared" si="14"/>
        <v>7.1250000000000008E-2</v>
      </c>
      <c r="W50" s="21">
        <f t="shared" si="7"/>
        <v>0.67625000000000002</v>
      </c>
      <c r="X50" s="21">
        <f t="shared" si="15"/>
        <v>0.60862500000000008</v>
      </c>
      <c r="Y50" s="20">
        <f t="shared" si="16"/>
        <v>2.07125</v>
      </c>
      <c r="Z50" s="20">
        <f t="shared" si="10"/>
        <v>2.67625</v>
      </c>
      <c r="AA50" s="20">
        <f t="shared" si="17"/>
        <v>2.4086250000000002</v>
      </c>
    </row>
    <row r="51" spans="9:27" x14ac:dyDescent="0.3">
      <c r="I51" s="30">
        <v>2024</v>
      </c>
      <c r="J51" s="30" t="s">
        <v>56</v>
      </c>
      <c r="K51" s="31" t="s">
        <v>81</v>
      </c>
      <c r="L51" s="19" t="s">
        <v>367</v>
      </c>
      <c r="M51" s="20">
        <v>1</v>
      </c>
      <c r="N51" s="20">
        <v>0.9</v>
      </c>
      <c r="O51" s="20">
        <f t="shared" si="0"/>
        <v>0.67500000000000004</v>
      </c>
      <c r="P51" s="20">
        <f t="shared" si="1"/>
        <v>0.25</v>
      </c>
      <c r="Q51" s="20">
        <f t="shared" si="2"/>
        <v>0.1875</v>
      </c>
      <c r="R51" s="20">
        <f t="shared" si="3"/>
        <v>0.25</v>
      </c>
      <c r="S51" s="20">
        <f t="shared" si="4"/>
        <v>0.1875</v>
      </c>
      <c r="T51" s="20">
        <f t="shared" si="5"/>
        <v>0.23</v>
      </c>
      <c r="U51" s="20">
        <f t="shared" si="12"/>
        <v>4.6749999999999998</v>
      </c>
      <c r="V51" s="21">
        <f t="shared" si="14"/>
        <v>0.33750000000000002</v>
      </c>
      <c r="W51" s="21">
        <f t="shared" si="7"/>
        <v>0.9425</v>
      </c>
      <c r="X51" s="21">
        <f t="shared" si="15"/>
        <v>0.84825000000000006</v>
      </c>
      <c r="Y51" s="20">
        <f t="shared" si="16"/>
        <v>2.3374999999999999</v>
      </c>
      <c r="Z51" s="20">
        <f t="shared" si="10"/>
        <v>2.9424999999999999</v>
      </c>
      <c r="AA51" s="20">
        <f t="shared" si="17"/>
        <v>2.64825</v>
      </c>
    </row>
    <row r="52" spans="9:27" x14ac:dyDescent="0.3">
      <c r="I52" s="32">
        <v>2025</v>
      </c>
      <c r="J52" s="32" t="s">
        <v>56</v>
      </c>
      <c r="K52" s="33" t="s">
        <v>82</v>
      </c>
      <c r="L52" s="22" t="s">
        <v>369</v>
      </c>
      <c r="M52" s="20">
        <v>4</v>
      </c>
      <c r="N52" s="20">
        <v>0.22</v>
      </c>
      <c r="O52" s="20">
        <f t="shared" si="0"/>
        <v>0.57200000000000006</v>
      </c>
      <c r="P52" s="20">
        <f t="shared" si="1"/>
        <v>0.25</v>
      </c>
      <c r="Q52" s="20">
        <f t="shared" si="2"/>
        <v>0.65</v>
      </c>
      <c r="R52" s="20">
        <f t="shared" si="3"/>
        <v>0.25</v>
      </c>
      <c r="S52" s="20">
        <f t="shared" si="4"/>
        <v>0.65</v>
      </c>
      <c r="T52" s="20">
        <f t="shared" si="5"/>
        <v>0.23</v>
      </c>
      <c r="U52" s="20">
        <f t="shared" si="12"/>
        <v>4.5720000000000001</v>
      </c>
      <c r="V52" s="21">
        <f t="shared" si="14"/>
        <v>0.28600000000000003</v>
      </c>
      <c r="W52" s="21">
        <f t="shared" si="7"/>
        <v>1.8159999999999998</v>
      </c>
      <c r="X52" s="21">
        <f t="shared" si="15"/>
        <v>1.6344000000000001</v>
      </c>
      <c r="Y52" s="20">
        <f t="shared" si="16"/>
        <v>2.286</v>
      </c>
      <c r="Z52" s="20">
        <f t="shared" si="10"/>
        <v>3.8159999999999998</v>
      </c>
      <c r="AA52" s="20">
        <f t="shared" si="17"/>
        <v>3.4344000000000001</v>
      </c>
    </row>
    <row r="53" spans="9:27" x14ac:dyDescent="0.3">
      <c r="I53" s="30">
        <v>2026</v>
      </c>
      <c r="J53" s="30" t="s">
        <v>56</v>
      </c>
      <c r="K53" s="31" t="s">
        <v>83</v>
      </c>
      <c r="L53" s="19" t="s">
        <v>367</v>
      </c>
      <c r="M53" s="20">
        <v>1</v>
      </c>
      <c r="N53" s="20">
        <v>1.1200000000000001</v>
      </c>
      <c r="O53" s="20">
        <f t="shared" si="0"/>
        <v>0.84000000000000008</v>
      </c>
      <c r="P53" s="20">
        <f t="shared" si="1"/>
        <v>0.25</v>
      </c>
      <c r="Q53" s="20">
        <f t="shared" si="2"/>
        <v>0.1875</v>
      </c>
      <c r="R53" s="20">
        <f t="shared" si="3"/>
        <v>0.25</v>
      </c>
      <c r="S53" s="20">
        <f t="shared" si="4"/>
        <v>0.1875</v>
      </c>
      <c r="T53" s="20">
        <f t="shared" si="5"/>
        <v>0.23</v>
      </c>
      <c r="U53" s="20">
        <f t="shared" si="12"/>
        <v>4.84</v>
      </c>
      <c r="V53" s="21">
        <f t="shared" si="14"/>
        <v>0.42</v>
      </c>
      <c r="W53" s="21">
        <f t="shared" si="7"/>
        <v>1.0249999999999999</v>
      </c>
      <c r="X53" s="21">
        <f t="shared" si="15"/>
        <v>0.92249999999999988</v>
      </c>
      <c r="Y53" s="20">
        <f t="shared" si="16"/>
        <v>2.42</v>
      </c>
      <c r="Z53" s="20">
        <f t="shared" si="10"/>
        <v>3.0249999999999999</v>
      </c>
      <c r="AA53" s="20">
        <f t="shared" si="17"/>
        <v>2.7225000000000001</v>
      </c>
    </row>
    <row r="54" spans="9:27" x14ac:dyDescent="0.3">
      <c r="I54" s="30">
        <v>2027</v>
      </c>
      <c r="J54" s="30" t="s">
        <v>56</v>
      </c>
      <c r="K54" s="31" t="s">
        <v>84</v>
      </c>
      <c r="L54" s="19" t="s">
        <v>367</v>
      </c>
      <c r="M54" s="20">
        <v>1</v>
      </c>
      <c r="N54" s="20">
        <v>1.37</v>
      </c>
      <c r="O54" s="20">
        <f t="shared" si="0"/>
        <v>1.0275000000000001</v>
      </c>
      <c r="P54" s="20">
        <f t="shared" si="1"/>
        <v>0.25</v>
      </c>
      <c r="Q54" s="20">
        <f t="shared" si="2"/>
        <v>0.1875</v>
      </c>
      <c r="R54" s="20">
        <f t="shared" si="3"/>
        <v>0.25</v>
      </c>
      <c r="S54" s="20">
        <f t="shared" si="4"/>
        <v>0.1875</v>
      </c>
      <c r="T54" s="20">
        <f t="shared" si="5"/>
        <v>0.23</v>
      </c>
      <c r="U54" s="20">
        <f t="shared" si="12"/>
        <v>5.0274999999999999</v>
      </c>
      <c r="V54" s="21">
        <f t="shared" si="14"/>
        <v>0.51375000000000004</v>
      </c>
      <c r="W54" s="21">
        <f t="shared" si="7"/>
        <v>1.1187499999999999</v>
      </c>
      <c r="X54" s="21">
        <f t="shared" si="15"/>
        <v>1.006875</v>
      </c>
      <c r="Y54" s="20">
        <f t="shared" si="16"/>
        <v>2.5137499999999999</v>
      </c>
      <c r="Z54" s="20">
        <f t="shared" si="10"/>
        <v>3.1187499999999999</v>
      </c>
      <c r="AA54" s="20">
        <f t="shared" si="17"/>
        <v>2.8068749999999998</v>
      </c>
    </row>
    <row r="55" spans="9:27" x14ac:dyDescent="0.3">
      <c r="I55" s="30">
        <v>2028</v>
      </c>
      <c r="J55" s="30" t="s">
        <v>56</v>
      </c>
      <c r="K55" s="31" t="s">
        <v>85</v>
      </c>
      <c r="L55" s="19" t="s">
        <v>367</v>
      </c>
      <c r="M55" s="20">
        <v>1</v>
      </c>
      <c r="N55" s="20">
        <v>1.63</v>
      </c>
      <c r="O55" s="20">
        <f t="shared" si="0"/>
        <v>1.2224999999999999</v>
      </c>
      <c r="P55" s="20">
        <f t="shared" si="1"/>
        <v>0.25</v>
      </c>
      <c r="Q55" s="20">
        <f t="shared" si="2"/>
        <v>0.1875</v>
      </c>
      <c r="R55" s="20">
        <f t="shared" si="3"/>
        <v>0.25</v>
      </c>
      <c r="S55" s="20">
        <f t="shared" si="4"/>
        <v>0.1875</v>
      </c>
      <c r="T55" s="20">
        <f t="shared" si="5"/>
        <v>0.23</v>
      </c>
      <c r="U55" s="20">
        <f t="shared" si="12"/>
        <v>5.2225000000000001</v>
      </c>
      <c r="V55" s="21">
        <f t="shared" si="14"/>
        <v>0.61124999999999996</v>
      </c>
      <c r="W55" s="21">
        <f t="shared" si="7"/>
        <v>1.2162500000000001</v>
      </c>
      <c r="X55" s="21">
        <f t="shared" si="15"/>
        <v>1.094625</v>
      </c>
      <c r="Y55" s="20">
        <f t="shared" si="16"/>
        <v>2.6112500000000001</v>
      </c>
      <c r="Z55" s="20">
        <f t="shared" si="10"/>
        <v>3.2162500000000001</v>
      </c>
      <c r="AA55" s="20">
        <f t="shared" si="17"/>
        <v>2.8946249999999996</v>
      </c>
    </row>
    <row r="56" spans="9:27" x14ac:dyDescent="0.3">
      <c r="I56" s="30">
        <v>2029</v>
      </c>
      <c r="J56" s="30" t="s">
        <v>56</v>
      </c>
      <c r="K56" s="31" t="s">
        <v>86</v>
      </c>
      <c r="L56" s="19" t="s">
        <v>367</v>
      </c>
      <c r="M56" s="20">
        <v>1</v>
      </c>
      <c r="N56" s="20">
        <v>0.89</v>
      </c>
      <c r="O56" s="20">
        <f t="shared" si="0"/>
        <v>0.66749999999999998</v>
      </c>
      <c r="P56" s="20">
        <f t="shared" si="1"/>
        <v>0.25</v>
      </c>
      <c r="Q56" s="20">
        <f t="shared" si="2"/>
        <v>0.1875</v>
      </c>
      <c r="R56" s="20">
        <f t="shared" si="3"/>
        <v>0.25</v>
      </c>
      <c r="S56" s="20">
        <f t="shared" si="4"/>
        <v>0.1875</v>
      </c>
      <c r="T56" s="20">
        <f t="shared" si="5"/>
        <v>0.23</v>
      </c>
      <c r="U56" s="20">
        <f t="shared" si="12"/>
        <v>4.6675000000000004</v>
      </c>
      <c r="V56" s="21">
        <f t="shared" si="14"/>
        <v>0.33374999999999999</v>
      </c>
      <c r="W56" s="21">
        <f t="shared" si="7"/>
        <v>0.93874999999999997</v>
      </c>
      <c r="X56" s="21">
        <f t="shared" si="15"/>
        <v>0.84487499999999993</v>
      </c>
      <c r="Y56" s="20">
        <f t="shared" si="16"/>
        <v>2.3337500000000002</v>
      </c>
      <c r="Z56" s="20">
        <f t="shared" si="10"/>
        <v>2.9387500000000002</v>
      </c>
      <c r="AA56" s="20">
        <f t="shared" si="17"/>
        <v>2.6448750000000003</v>
      </c>
    </row>
    <row r="57" spans="9:27" x14ac:dyDescent="0.3">
      <c r="I57" s="30">
        <v>2030</v>
      </c>
      <c r="J57" s="30" t="s">
        <v>56</v>
      </c>
      <c r="K57" s="31" t="s">
        <v>87</v>
      </c>
      <c r="L57" s="19" t="s">
        <v>367</v>
      </c>
      <c r="M57" s="20">
        <v>1</v>
      </c>
      <c r="N57" s="20">
        <v>0.79</v>
      </c>
      <c r="O57" s="20">
        <f t="shared" si="0"/>
        <v>0.59250000000000003</v>
      </c>
      <c r="P57" s="20">
        <f t="shared" si="1"/>
        <v>0.25</v>
      </c>
      <c r="Q57" s="20">
        <f t="shared" si="2"/>
        <v>0.1875</v>
      </c>
      <c r="R57" s="20">
        <f t="shared" si="3"/>
        <v>0.25</v>
      </c>
      <c r="S57" s="20">
        <f t="shared" si="4"/>
        <v>0.1875</v>
      </c>
      <c r="T57" s="20">
        <f t="shared" si="5"/>
        <v>0.23</v>
      </c>
      <c r="U57" s="20">
        <f t="shared" si="12"/>
        <v>4.5925000000000002</v>
      </c>
      <c r="V57" s="21">
        <f t="shared" si="14"/>
        <v>0.29625000000000001</v>
      </c>
      <c r="W57" s="21">
        <f t="shared" si="7"/>
        <v>0.90125</v>
      </c>
      <c r="X57" s="21">
        <f t="shared" si="15"/>
        <v>0.81112499999999998</v>
      </c>
      <c r="Y57" s="20">
        <f t="shared" si="16"/>
        <v>2.2962500000000001</v>
      </c>
      <c r="Z57" s="20">
        <f t="shared" si="10"/>
        <v>2.9012500000000001</v>
      </c>
      <c r="AA57" s="20">
        <f t="shared" si="17"/>
        <v>2.6111249999999999</v>
      </c>
    </row>
    <row r="58" spans="9:27" x14ac:dyDescent="0.3">
      <c r="I58" s="32">
        <v>2031</v>
      </c>
      <c r="J58" s="32" t="s">
        <v>56</v>
      </c>
      <c r="K58" s="33" t="s">
        <v>88</v>
      </c>
      <c r="L58" s="22" t="s">
        <v>369</v>
      </c>
      <c r="M58" s="20">
        <v>4</v>
      </c>
      <c r="N58" s="20">
        <v>1.43</v>
      </c>
      <c r="O58" s="20">
        <f t="shared" si="0"/>
        <v>3.718</v>
      </c>
      <c r="P58" s="20">
        <f t="shared" si="1"/>
        <v>0.25</v>
      </c>
      <c r="Q58" s="20">
        <f t="shared" si="2"/>
        <v>0.65</v>
      </c>
      <c r="R58" s="20">
        <f t="shared" si="3"/>
        <v>0.25</v>
      </c>
      <c r="S58" s="20">
        <f t="shared" si="4"/>
        <v>0.65</v>
      </c>
      <c r="T58" s="20">
        <f t="shared" si="5"/>
        <v>0.23</v>
      </c>
      <c r="U58" s="20">
        <f t="shared" si="12"/>
        <v>7.718</v>
      </c>
      <c r="V58" s="21">
        <f t="shared" si="14"/>
        <v>1.859</v>
      </c>
      <c r="W58" s="21">
        <f t="shared" si="7"/>
        <v>3.3889999999999998</v>
      </c>
      <c r="X58" s="21">
        <f t="shared" si="15"/>
        <v>3.0501</v>
      </c>
      <c r="Y58" s="20">
        <f t="shared" si="16"/>
        <v>3.859</v>
      </c>
      <c r="Z58" s="20">
        <f t="shared" si="10"/>
        <v>5.3890000000000011</v>
      </c>
      <c r="AA58" s="20">
        <f t="shared" si="17"/>
        <v>4.8501000000000012</v>
      </c>
    </row>
    <row r="59" spans="9:27" x14ac:dyDescent="0.3">
      <c r="I59" s="30">
        <v>2032</v>
      </c>
      <c r="J59" s="30" t="s">
        <v>56</v>
      </c>
      <c r="K59" s="31" t="s">
        <v>89</v>
      </c>
      <c r="L59" s="19" t="s">
        <v>367</v>
      </c>
      <c r="M59" s="20">
        <v>1</v>
      </c>
      <c r="N59" s="20">
        <v>0.97</v>
      </c>
      <c r="O59" s="20">
        <f t="shared" si="0"/>
        <v>0.72750000000000004</v>
      </c>
      <c r="P59" s="20">
        <f t="shared" si="1"/>
        <v>0.25</v>
      </c>
      <c r="Q59" s="20">
        <f t="shared" si="2"/>
        <v>0.1875</v>
      </c>
      <c r="R59" s="20">
        <f t="shared" si="3"/>
        <v>0.25</v>
      </c>
      <c r="S59" s="20">
        <f t="shared" si="4"/>
        <v>0.1875</v>
      </c>
      <c r="T59" s="20">
        <f t="shared" si="5"/>
        <v>0.23</v>
      </c>
      <c r="U59" s="20">
        <f t="shared" si="12"/>
        <v>4.7275</v>
      </c>
      <c r="V59" s="21">
        <f t="shared" si="14"/>
        <v>0.36375000000000002</v>
      </c>
      <c r="W59" s="21">
        <f t="shared" si="7"/>
        <v>0.96875</v>
      </c>
      <c r="X59" s="21">
        <f t="shared" si="15"/>
        <v>0.87187499999999996</v>
      </c>
      <c r="Y59" s="20">
        <f t="shared" si="16"/>
        <v>2.36375</v>
      </c>
      <c r="Z59" s="20">
        <f t="shared" si="10"/>
        <v>2.96875</v>
      </c>
      <c r="AA59" s="20">
        <f t="shared" si="17"/>
        <v>2.671875</v>
      </c>
    </row>
    <row r="60" spans="9:27" x14ac:dyDescent="0.3">
      <c r="I60" s="32">
        <v>2033</v>
      </c>
      <c r="J60" s="32" t="s">
        <v>56</v>
      </c>
      <c r="K60" s="33" t="s">
        <v>90</v>
      </c>
      <c r="L60" s="22" t="s">
        <v>368</v>
      </c>
      <c r="M60" s="20">
        <v>3</v>
      </c>
      <c r="N60" s="20">
        <v>1.7</v>
      </c>
      <c r="O60" s="20">
        <f t="shared" si="0"/>
        <v>2.125</v>
      </c>
      <c r="P60" s="20">
        <f t="shared" si="1"/>
        <v>0.25</v>
      </c>
      <c r="Q60" s="20">
        <f t="shared" si="2"/>
        <v>0.3125</v>
      </c>
      <c r="R60" s="20">
        <f t="shared" si="3"/>
        <v>0.25</v>
      </c>
      <c r="S60" s="20">
        <f t="shared" si="4"/>
        <v>0.3125</v>
      </c>
      <c r="T60" s="20">
        <f t="shared" si="5"/>
        <v>0.23</v>
      </c>
      <c r="U60" s="20">
        <f t="shared" si="12"/>
        <v>6.125</v>
      </c>
      <c r="V60" s="21">
        <f t="shared" si="14"/>
        <v>1.0625</v>
      </c>
      <c r="W60" s="21">
        <f t="shared" si="7"/>
        <v>1.9175</v>
      </c>
      <c r="X60" s="21">
        <f t="shared" si="15"/>
        <v>1.7257499999999999</v>
      </c>
      <c r="Y60" s="20">
        <f t="shared" si="16"/>
        <v>3.0625</v>
      </c>
      <c r="Z60" s="20">
        <f t="shared" si="10"/>
        <v>3.9175</v>
      </c>
      <c r="AA60" s="20">
        <f t="shared" si="17"/>
        <v>3.5257499999999999</v>
      </c>
    </row>
    <row r="61" spans="9:27" ht="28.8" x14ac:dyDescent="0.3">
      <c r="I61" s="32">
        <v>2034</v>
      </c>
      <c r="J61" s="32" t="s">
        <v>56</v>
      </c>
      <c r="K61" s="33" t="s">
        <v>91</v>
      </c>
      <c r="L61" s="22" t="s">
        <v>370</v>
      </c>
      <c r="M61" s="20">
        <v>2</v>
      </c>
      <c r="N61" s="20">
        <v>1.81</v>
      </c>
      <c r="O61" s="20">
        <f t="shared" si="0"/>
        <v>1.629</v>
      </c>
      <c r="P61" s="20">
        <f t="shared" si="1"/>
        <v>0.25</v>
      </c>
      <c r="Q61" s="20">
        <f t="shared" si="2"/>
        <v>0.22500000000000001</v>
      </c>
      <c r="R61" s="20">
        <f t="shared" si="3"/>
        <v>0.25</v>
      </c>
      <c r="S61" s="20">
        <f t="shared" si="4"/>
        <v>0.22500000000000001</v>
      </c>
      <c r="T61" s="20">
        <f t="shared" si="5"/>
        <v>0.23</v>
      </c>
      <c r="U61" s="20">
        <f t="shared" si="12"/>
        <v>5.6289999999999996</v>
      </c>
      <c r="V61" s="21">
        <f t="shared" si="14"/>
        <v>0.8145</v>
      </c>
      <c r="W61" s="21">
        <f t="shared" si="7"/>
        <v>1.4945000000000002</v>
      </c>
      <c r="X61" s="21">
        <f t="shared" si="15"/>
        <v>1.3450500000000003</v>
      </c>
      <c r="Y61" s="20">
        <f t="shared" si="16"/>
        <v>2.8144999999999998</v>
      </c>
      <c r="Z61" s="20">
        <f t="shared" si="10"/>
        <v>3.4944999999999999</v>
      </c>
      <c r="AA61" s="20">
        <f t="shared" si="17"/>
        <v>3.1450499999999999</v>
      </c>
    </row>
    <row r="62" spans="9:27" x14ac:dyDescent="0.3">
      <c r="I62" s="30">
        <v>2035</v>
      </c>
      <c r="J62" s="30" t="s">
        <v>56</v>
      </c>
      <c r="K62" s="31" t="s">
        <v>92</v>
      </c>
      <c r="L62" s="19" t="s">
        <v>367</v>
      </c>
      <c r="M62" s="20">
        <v>1</v>
      </c>
      <c r="N62" s="20">
        <v>2.14</v>
      </c>
      <c r="O62" s="20">
        <f t="shared" si="0"/>
        <v>1.605</v>
      </c>
      <c r="P62" s="20">
        <f t="shared" si="1"/>
        <v>0.25</v>
      </c>
      <c r="Q62" s="20">
        <f t="shared" si="2"/>
        <v>0.1875</v>
      </c>
      <c r="R62" s="20">
        <f t="shared" si="3"/>
        <v>0.25</v>
      </c>
      <c r="S62" s="20">
        <f t="shared" si="4"/>
        <v>0.1875</v>
      </c>
      <c r="T62" s="20">
        <f t="shared" si="5"/>
        <v>0.23</v>
      </c>
      <c r="U62" s="20">
        <f t="shared" si="12"/>
        <v>5.6050000000000004</v>
      </c>
      <c r="V62" s="21">
        <f t="shared" si="14"/>
        <v>0.80249999999999999</v>
      </c>
      <c r="W62" s="21">
        <f t="shared" si="7"/>
        <v>1.4075</v>
      </c>
      <c r="X62" s="21">
        <f t="shared" si="15"/>
        <v>1.26675</v>
      </c>
      <c r="Y62" s="20">
        <f t="shared" si="16"/>
        <v>2.8025000000000002</v>
      </c>
      <c r="Z62" s="20">
        <f t="shared" si="10"/>
        <v>3.4075000000000002</v>
      </c>
      <c r="AA62" s="20">
        <f t="shared" si="17"/>
        <v>3.0667500000000003</v>
      </c>
    </row>
    <row r="63" spans="9:27" x14ac:dyDescent="0.3">
      <c r="I63" s="30">
        <v>2036</v>
      </c>
      <c r="J63" s="30" t="s">
        <v>56</v>
      </c>
      <c r="K63" s="31" t="s">
        <v>93</v>
      </c>
      <c r="L63" s="19" t="s">
        <v>367</v>
      </c>
      <c r="M63" s="20">
        <v>1</v>
      </c>
      <c r="N63" s="20">
        <v>1.65</v>
      </c>
      <c r="O63" s="20">
        <f t="shared" ref="O63:O126" si="18">IF(M63=1,(N63-(N63*0.25)),IF(M63=2,(N63-(N63*0.1)),IF(M63=3,(N63+(N63*0.25)),IF(M63=4,(N63+(N63*1.6)),0))))</f>
        <v>1.2374999999999998</v>
      </c>
      <c r="P63" s="20">
        <f t="shared" ref="P63:P126" si="19">IF(J63="III",0.15,IF(J63="IV",0.25,IF(J63="V",0.25,IF(J63="VII",0.25,0))))</f>
        <v>0.25</v>
      </c>
      <c r="Q63" s="20">
        <f t="shared" ref="Q63:Q126" si="20">IF(M63=1,(P63-(P63*0.25)),IF(M63=2,(P63-(P63*0.1)),IF(M63=3,(P63+(P63*0.25)),IF(M63=4,(P63+(P63*1.6)),0))))</f>
        <v>0.1875</v>
      </c>
      <c r="R63" s="20">
        <f t="shared" ref="R63:R126" si="21">IF(J63="III",(IF($C$4="Zone 1",0.25,IF($C$4="Zone 2",0.15,(IF($C$4="Zone 3",0.1,0.05))))), (IF($C$4="Zone 1",0.5,IF($C$4="Zone 2",0.25,(IF($C$4="Zone 3",0.1,0.05))))))</f>
        <v>0.25</v>
      </c>
      <c r="S63" s="20">
        <f t="shared" ref="S63:S126" si="22">IF(M63=1,(R63-(R63*0.25)),IF(M63=2,(R63-(R63*0.1)),IF(M63=3,(R63+(R63*0.25)),IF(M63=4,(R63+(R63*1.6)),0))))</f>
        <v>0.1875</v>
      </c>
      <c r="T63" s="20">
        <f t="shared" ref="T63:T126" si="23">IF(J63="III",0.15,0.23)</f>
        <v>0.23</v>
      </c>
      <c r="U63" s="20">
        <f t="shared" si="12"/>
        <v>5.2374999999999998</v>
      </c>
      <c r="V63" s="21">
        <f t="shared" si="14"/>
        <v>0.61874999999999991</v>
      </c>
      <c r="W63" s="21">
        <f t="shared" ref="W63:W126" si="24">V63+T63+S63+Q63</f>
        <v>1.2237499999999999</v>
      </c>
      <c r="X63" s="21">
        <f t="shared" si="15"/>
        <v>1.101375</v>
      </c>
      <c r="Y63" s="20">
        <f t="shared" si="16"/>
        <v>2.6187499999999999</v>
      </c>
      <c r="Z63" s="20">
        <f t="shared" ref="Z63:Z126" si="25">Y63+Q63+S63+T63</f>
        <v>3.2237499999999999</v>
      </c>
      <c r="AA63" s="20">
        <f t="shared" si="17"/>
        <v>2.9013749999999998</v>
      </c>
    </row>
    <row r="64" spans="9:27" x14ac:dyDescent="0.3">
      <c r="I64" s="32">
        <v>2037</v>
      </c>
      <c r="J64" s="32" t="s">
        <v>56</v>
      </c>
      <c r="K64" s="33" t="s">
        <v>94</v>
      </c>
      <c r="L64" s="22" t="s">
        <v>370</v>
      </c>
      <c r="M64" s="20">
        <v>2</v>
      </c>
      <c r="N64" s="20">
        <v>0.98</v>
      </c>
      <c r="O64" s="20">
        <f t="shared" si="18"/>
        <v>0.88200000000000001</v>
      </c>
      <c r="P64" s="20">
        <f t="shared" si="19"/>
        <v>0.25</v>
      </c>
      <c r="Q64" s="20">
        <f t="shared" si="20"/>
        <v>0.22500000000000001</v>
      </c>
      <c r="R64" s="20">
        <f t="shared" si="21"/>
        <v>0.25</v>
      </c>
      <c r="S64" s="20">
        <f t="shared" si="22"/>
        <v>0.22500000000000001</v>
      </c>
      <c r="T64" s="20">
        <f t="shared" si="23"/>
        <v>0.23</v>
      </c>
      <c r="U64" s="20">
        <f t="shared" ref="U64:U127" si="26">O64+4</f>
        <v>4.8819999999999997</v>
      </c>
      <c r="V64" s="21">
        <f t="shared" si="14"/>
        <v>0.441</v>
      </c>
      <c r="W64" s="21">
        <f t="shared" si="24"/>
        <v>1.121</v>
      </c>
      <c r="X64" s="21">
        <f t="shared" ref="X64:X127" si="27">IF($C$30&gt;0,W64*(100-$C$30)/100,W64)</f>
        <v>1.0088999999999999</v>
      </c>
      <c r="Y64" s="20">
        <f t="shared" si="16"/>
        <v>2.4409999999999998</v>
      </c>
      <c r="Z64" s="20">
        <f t="shared" si="25"/>
        <v>3.121</v>
      </c>
      <c r="AA64" s="20">
        <f t="shared" ref="AA64:AA127" si="28">IF($C$30&gt;0,Z64*(100-$C$30)/100,Z64)</f>
        <v>2.8089</v>
      </c>
    </row>
    <row r="65" spans="9:27" x14ac:dyDescent="0.3">
      <c r="I65" s="30">
        <v>2038</v>
      </c>
      <c r="J65" s="30" t="s">
        <v>56</v>
      </c>
      <c r="K65" s="31" t="s">
        <v>95</v>
      </c>
      <c r="L65" s="19" t="s">
        <v>367</v>
      </c>
      <c r="M65" s="20">
        <v>1</v>
      </c>
      <c r="N65" s="20">
        <v>0.64</v>
      </c>
      <c r="O65" s="20">
        <f t="shared" si="18"/>
        <v>0.48</v>
      </c>
      <c r="P65" s="20">
        <f t="shared" si="19"/>
        <v>0.25</v>
      </c>
      <c r="Q65" s="20">
        <f t="shared" si="20"/>
        <v>0.1875</v>
      </c>
      <c r="R65" s="20">
        <f t="shared" si="21"/>
        <v>0.25</v>
      </c>
      <c r="S65" s="20">
        <f t="shared" si="22"/>
        <v>0.1875</v>
      </c>
      <c r="T65" s="20">
        <f t="shared" si="23"/>
        <v>0.23</v>
      </c>
      <c r="U65" s="20">
        <f t="shared" si="26"/>
        <v>4.4800000000000004</v>
      </c>
      <c r="V65" s="21">
        <f t="shared" si="14"/>
        <v>0.24</v>
      </c>
      <c r="W65" s="21">
        <f t="shared" si="24"/>
        <v>0.84499999999999997</v>
      </c>
      <c r="X65" s="21">
        <f t="shared" si="27"/>
        <v>0.76049999999999995</v>
      </c>
      <c r="Y65" s="20">
        <f t="shared" si="16"/>
        <v>2.2400000000000002</v>
      </c>
      <c r="Z65" s="20">
        <f t="shared" si="25"/>
        <v>2.8450000000000002</v>
      </c>
      <c r="AA65" s="20">
        <f t="shared" si="28"/>
        <v>2.5605000000000002</v>
      </c>
    </row>
    <row r="66" spans="9:27" x14ac:dyDescent="0.3">
      <c r="I66" s="30">
        <v>2039</v>
      </c>
      <c r="J66" s="30" t="s">
        <v>56</v>
      </c>
      <c r="K66" s="31" t="s">
        <v>96</v>
      </c>
      <c r="L66" s="19" t="s">
        <v>367</v>
      </c>
      <c r="M66" s="20">
        <v>1</v>
      </c>
      <c r="N66" s="20">
        <v>7.86</v>
      </c>
      <c r="O66" s="20">
        <f t="shared" si="18"/>
        <v>5.8950000000000005</v>
      </c>
      <c r="P66" s="20">
        <f t="shared" si="19"/>
        <v>0.25</v>
      </c>
      <c r="Q66" s="20">
        <f t="shared" si="20"/>
        <v>0.1875</v>
      </c>
      <c r="R66" s="20">
        <f t="shared" si="21"/>
        <v>0.25</v>
      </c>
      <c r="S66" s="20">
        <f t="shared" si="22"/>
        <v>0.1875</v>
      </c>
      <c r="T66" s="20">
        <f t="shared" si="23"/>
        <v>0.23</v>
      </c>
      <c r="U66" s="20">
        <f t="shared" si="26"/>
        <v>9.8949999999999996</v>
      </c>
      <c r="V66" s="21">
        <f t="shared" si="14"/>
        <v>2.9475000000000007</v>
      </c>
      <c r="W66" s="21">
        <f t="shared" si="24"/>
        <v>3.5525000000000007</v>
      </c>
      <c r="X66" s="21">
        <f t="shared" si="27"/>
        <v>3.1972500000000008</v>
      </c>
      <c r="Y66" s="20">
        <f t="shared" si="16"/>
        <v>4.9474999999999998</v>
      </c>
      <c r="Z66" s="20">
        <f t="shared" si="25"/>
        <v>5.5525000000000002</v>
      </c>
      <c r="AA66" s="20">
        <f t="shared" si="28"/>
        <v>4.9972500000000002</v>
      </c>
    </row>
    <row r="67" spans="9:27" x14ac:dyDescent="0.3">
      <c r="I67" s="32">
        <v>2040</v>
      </c>
      <c r="J67" s="32" t="s">
        <v>56</v>
      </c>
      <c r="K67" s="33" t="s">
        <v>97</v>
      </c>
      <c r="L67" s="22" t="s">
        <v>370</v>
      </c>
      <c r="M67" s="20">
        <v>2</v>
      </c>
      <c r="N67" s="20">
        <v>0.46</v>
      </c>
      <c r="O67" s="20">
        <f t="shared" si="18"/>
        <v>0.41400000000000003</v>
      </c>
      <c r="P67" s="20">
        <f t="shared" si="19"/>
        <v>0.25</v>
      </c>
      <c r="Q67" s="20">
        <f t="shared" si="20"/>
        <v>0.22500000000000001</v>
      </c>
      <c r="R67" s="20">
        <f t="shared" si="21"/>
        <v>0.25</v>
      </c>
      <c r="S67" s="20">
        <f t="shared" si="22"/>
        <v>0.22500000000000001</v>
      </c>
      <c r="T67" s="20">
        <f t="shared" si="23"/>
        <v>0.23</v>
      </c>
      <c r="U67" s="20">
        <f t="shared" si="26"/>
        <v>4.4139999999999997</v>
      </c>
      <c r="V67" s="21">
        <f t="shared" si="14"/>
        <v>0.20700000000000002</v>
      </c>
      <c r="W67" s="21">
        <f t="shared" si="24"/>
        <v>0.88700000000000001</v>
      </c>
      <c r="X67" s="21">
        <f t="shared" si="27"/>
        <v>0.79830000000000001</v>
      </c>
      <c r="Y67" s="20">
        <f t="shared" si="16"/>
        <v>2.2069999999999999</v>
      </c>
      <c r="Z67" s="20">
        <f t="shared" si="25"/>
        <v>2.887</v>
      </c>
      <c r="AA67" s="20">
        <f t="shared" si="28"/>
        <v>2.5983000000000001</v>
      </c>
    </row>
    <row r="68" spans="9:27" x14ac:dyDescent="0.3">
      <c r="I68" s="30">
        <v>2041</v>
      </c>
      <c r="J68" s="30" t="s">
        <v>56</v>
      </c>
      <c r="K68" s="31" t="s">
        <v>98</v>
      </c>
      <c r="L68" s="19" t="s">
        <v>367</v>
      </c>
      <c r="M68" s="20">
        <v>1</v>
      </c>
      <c r="N68" s="20">
        <v>0.61</v>
      </c>
      <c r="O68" s="20">
        <f t="shared" si="18"/>
        <v>0.45750000000000002</v>
      </c>
      <c r="P68" s="20">
        <f t="shared" si="19"/>
        <v>0.25</v>
      </c>
      <c r="Q68" s="20">
        <f t="shared" si="20"/>
        <v>0.1875</v>
      </c>
      <c r="R68" s="20">
        <f t="shared" si="21"/>
        <v>0.25</v>
      </c>
      <c r="S68" s="20">
        <f t="shared" si="22"/>
        <v>0.1875</v>
      </c>
      <c r="T68" s="20">
        <f t="shared" si="23"/>
        <v>0.23</v>
      </c>
      <c r="U68" s="20">
        <f t="shared" si="26"/>
        <v>4.4574999999999996</v>
      </c>
      <c r="V68" s="21">
        <f t="shared" si="14"/>
        <v>0.22875000000000001</v>
      </c>
      <c r="W68" s="21">
        <f t="shared" si="24"/>
        <v>0.83374999999999999</v>
      </c>
      <c r="X68" s="21">
        <f t="shared" si="27"/>
        <v>0.7503749999999999</v>
      </c>
      <c r="Y68" s="20">
        <f t="shared" si="16"/>
        <v>2.2287499999999998</v>
      </c>
      <c r="Z68" s="20">
        <f t="shared" si="25"/>
        <v>2.8337499999999998</v>
      </c>
      <c r="AA68" s="20">
        <f t="shared" si="28"/>
        <v>2.5503749999999998</v>
      </c>
    </row>
    <row r="69" spans="9:27" ht="28.8" x14ac:dyDescent="0.3">
      <c r="I69" s="30">
        <v>2042</v>
      </c>
      <c r="J69" s="30" t="s">
        <v>56</v>
      </c>
      <c r="K69" s="31" t="s">
        <v>99</v>
      </c>
      <c r="L69" s="19" t="s">
        <v>367</v>
      </c>
      <c r="M69" s="20">
        <v>1</v>
      </c>
      <c r="N69" s="20">
        <v>0.94</v>
      </c>
      <c r="O69" s="20">
        <f t="shared" si="18"/>
        <v>0.70499999999999996</v>
      </c>
      <c r="P69" s="20">
        <f t="shared" si="19"/>
        <v>0.25</v>
      </c>
      <c r="Q69" s="20">
        <f t="shared" si="20"/>
        <v>0.1875</v>
      </c>
      <c r="R69" s="20">
        <f t="shared" si="21"/>
        <v>0.25</v>
      </c>
      <c r="S69" s="20">
        <f t="shared" si="22"/>
        <v>0.1875</v>
      </c>
      <c r="T69" s="20">
        <f t="shared" si="23"/>
        <v>0.23</v>
      </c>
      <c r="U69" s="20">
        <f t="shared" si="26"/>
        <v>4.7050000000000001</v>
      </c>
      <c r="V69" s="21">
        <f t="shared" si="14"/>
        <v>0.35249999999999998</v>
      </c>
      <c r="W69" s="21">
        <f t="shared" si="24"/>
        <v>0.95750000000000002</v>
      </c>
      <c r="X69" s="21">
        <f t="shared" si="27"/>
        <v>0.86175000000000002</v>
      </c>
      <c r="Y69" s="20">
        <f t="shared" si="16"/>
        <v>2.3525</v>
      </c>
      <c r="Z69" s="20">
        <f t="shared" si="25"/>
        <v>2.9575</v>
      </c>
      <c r="AA69" s="20">
        <f t="shared" si="28"/>
        <v>2.6617500000000001</v>
      </c>
    </row>
    <row r="70" spans="9:27" ht="28.8" x14ac:dyDescent="0.3">
      <c r="I70" s="32">
        <v>2043</v>
      </c>
      <c r="J70" s="32" t="s">
        <v>56</v>
      </c>
      <c r="K70" s="33" t="s">
        <v>100</v>
      </c>
      <c r="L70" s="22" t="s">
        <v>369</v>
      </c>
      <c r="M70" s="20">
        <v>4</v>
      </c>
      <c r="N70" s="20">
        <v>1.67</v>
      </c>
      <c r="O70" s="20">
        <f t="shared" si="18"/>
        <v>4.3420000000000005</v>
      </c>
      <c r="P70" s="20">
        <f t="shared" si="19"/>
        <v>0.25</v>
      </c>
      <c r="Q70" s="20">
        <f t="shared" si="20"/>
        <v>0.65</v>
      </c>
      <c r="R70" s="20">
        <f t="shared" si="21"/>
        <v>0.25</v>
      </c>
      <c r="S70" s="20">
        <f t="shared" si="22"/>
        <v>0.65</v>
      </c>
      <c r="T70" s="20">
        <f t="shared" si="23"/>
        <v>0.23</v>
      </c>
      <c r="U70" s="20">
        <f t="shared" si="26"/>
        <v>8.3420000000000005</v>
      </c>
      <c r="V70" s="21">
        <f t="shared" si="14"/>
        <v>2.1710000000000003</v>
      </c>
      <c r="W70" s="21">
        <f t="shared" si="24"/>
        <v>3.7010000000000001</v>
      </c>
      <c r="X70" s="21">
        <f t="shared" si="27"/>
        <v>3.3309000000000002</v>
      </c>
      <c r="Y70" s="20">
        <f t="shared" si="16"/>
        <v>4.1710000000000003</v>
      </c>
      <c r="Z70" s="20">
        <f t="shared" si="25"/>
        <v>5.7010000000000014</v>
      </c>
      <c r="AA70" s="20">
        <f t="shared" si="28"/>
        <v>5.1309000000000013</v>
      </c>
    </row>
    <row r="71" spans="9:27" ht="28.8" x14ac:dyDescent="0.3">
      <c r="I71" s="32">
        <v>2044</v>
      </c>
      <c r="J71" s="32" t="s">
        <v>56</v>
      </c>
      <c r="K71" s="33" t="s">
        <v>101</v>
      </c>
      <c r="L71" s="22" t="s">
        <v>369</v>
      </c>
      <c r="M71" s="20">
        <v>4</v>
      </c>
      <c r="N71" s="20">
        <v>1.21</v>
      </c>
      <c r="O71" s="20">
        <f t="shared" si="18"/>
        <v>3.1459999999999999</v>
      </c>
      <c r="P71" s="20">
        <f t="shared" si="19"/>
        <v>0.25</v>
      </c>
      <c r="Q71" s="20">
        <f t="shared" si="20"/>
        <v>0.65</v>
      </c>
      <c r="R71" s="20">
        <f t="shared" si="21"/>
        <v>0.25</v>
      </c>
      <c r="S71" s="20">
        <f t="shared" si="22"/>
        <v>0.65</v>
      </c>
      <c r="T71" s="20">
        <f t="shared" si="23"/>
        <v>0.23</v>
      </c>
      <c r="U71" s="20">
        <f t="shared" si="26"/>
        <v>7.1459999999999999</v>
      </c>
      <c r="V71" s="21">
        <f t="shared" si="14"/>
        <v>1.5730000000000002</v>
      </c>
      <c r="W71" s="21">
        <f t="shared" si="24"/>
        <v>3.1030000000000002</v>
      </c>
      <c r="X71" s="21">
        <f t="shared" si="27"/>
        <v>2.7927000000000004</v>
      </c>
      <c r="Y71" s="20">
        <f t="shared" si="16"/>
        <v>3.573</v>
      </c>
      <c r="Z71" s="20">
        <f t="shared" si="25"/>
        <v>5.1030000000000006</v>
      </c>
      <c r="AA71" s="20">
        <f t="shared" si="28"/>
        <v>4.5927000000000007</v>
      </c>
    </row>
    <row r="72" spans="9:27" x14ac:dyDescent="0.3">
      <c r="I72" s="30">
        <v>2045</v>
      </c>
      <c r="J72" s="30" t="s">
        <v>56</v>
      </c>
      <c r="K72" s="31" t="s">
        <v>102</v>
      </c>
      <c r="L72" s="19" t="s">
        <v>367</v>
      </c>
      <c r="M72" s="20">
        <v>1</v>
      </c>
      <c r="N72" s="20">
        <v>0.74</v>
      </c>
      <c r="O72" s="20">
        <f t="shared" si="18"/>
        <v>0.55499999999999994</v>
      </c>
      <c r="P72" s="20">
        <f t="shared" si="19"/>
        <v>0.25</v>
      </c>
      <c r="Q72" s="20">
        <f t="shared" si="20"/>
        <v>0.1875</v>
      </c>
      <c r="R72" s="20">
        <f t="shared" si="21"/>
        <v>0.25</v>
      </c>
      <c r="S72" s="20">
        <f t="shared" si="22"/>
        <v>0.1875</v>
      </c>
      <c r="T72" s="20">
        <f t="shared" si="23"/>
        <v>0.23</v>
      </c>
      <c r="U72" s="20">
        <f t="shared" si="26"/>
        <v>4.5549999999999997</v>
      </c>
      <c r="V72" s="21">
        <f t="shared" si="14"/>
        <v>0.27749999999999997</v>
      </c>
      <c r="W72" s="21">
        <f t="shared" si="24"/>
        <v>0.88249999999999995</v>
      </c>
      <c r="X72" s="21">
        <f t="shared" si="27"/>
        <v>0.79425000000000001</v>
      </c>
      <c r="Y72" s="20">
        <f t="shared" si="16"/>
        <v>2.2774999999999999</v>
      </c>
      <c r="Z72" s="20">
        <f t="shared" si="25"/>
        <v>2.8824999999999998</v>
      </c>
      <c r="AA72" s="20">
        <f t="shared" si="28"/>
        <v>2.5942500000000002</v>
      </c>
    </row>
    <row r="73" spans="9:27" ht="28.8" x14ac:dyDescent="0.3">
      <c r="I73" s="30">
        <v>2046</v>
      </c>
      <c r="J73" s="30" t="s">
        <v>56</v>
      </c>
      <c r="K73" s="31" t="s">
        <v>103</v>
      </c>
      <c r="L73" s="19" t="s">
        <v>367</v>
      </c>
      <c r="M73" s="20">
        <v>1</v>
      </c>
      <c r="N73" s="20">
        <v>3.05</v>
      </c>
      <c r="O73" s="20">
        <f t="shared" si="18"/>
        <v>2.2874999999999996</v>
      </c>
      <c r="P73" s="20">
        <f t="shared" si="19"/>
        <v>0.25</v>
      </c>
      <c r="Q73" s="20">
        <f t="shared" si="20"/>
        <v>0.1875</v>
      </c>
      <c r="R73" s="20">
        <f t="shared" si="21"/>
        <v>0.25</v>
      </c>
      <c r="S73" s="20">
        <f t="shared" si="22"/>
        <v>0.1875</v>
      </c>
      <c r="T73" s="20">
        <f t="shared" si="23"/>
        <v>0.23</v>
      </c>
      <c r="U73" s="20">
        <f t="shared" si="26"/>
        <v>6.2874999999999996</v>
      </c>
      <c r="V73" s="21">
        <f t="shared" si="14"/>
        <v>1.1437499999999998</v>
      </c>
      <c r="W73" s="21">
        <f t="shared" si="24"/>
        <v>1.7487499999999998</v>
      </c>
      <c r="X73" s="21">
        <f t="shared" si="27"/>
        <v>1.5738749999999999</v>
      </c>
      <c r="Y73" s="20">
        <f t="shared" si="16"/>
        <v>3.1437499999999998</v>
      </c>
      <c r="Z73" s="20">
        <f t="shared" si="25"/>
        <v>3.7487499999999998</v>
      </c>
      <c r="AA73" s="20">
        <f t="shared" si="28"/>
        <v>3.373875</v>
      </c>
    </row>
    <row r="74" spans="9:27" x14ac:dyDescent="0.3">
      <c r="I74" s="30">
        <v>2047</v>
      </c>
      <c r="J74" s="30" t="s">
        <v>56</v>
      </c>
      <c r="K74" s="31" t="s">
        <v>104</v>
      </c>
      <c r="L74" s="19" t="s">
        <v>367</v>
      </c>
      <c r="M74" s="20">
        <v>1</v>
      </c>
      <c r="N74" s="20">
        <v>1.27</v>
      </c>
      <c r="O74" s="20">
        <f t="shared" si="18"/>
        <v>0.95250000000000001</v>
      </c>
      <c r="P74" s="20">
        <f t="shared" si="19"/>
        <v>0.25</v>
      </c>
      <c r="Q74" s="20">
        <f t="shared" si="20"/>
        <v>0.1875</v>
      </c>
      <c r="R74" s="20">
        <f t="shared" si="21"/>
        <v>0.25</v>
      </c>
      <c r="S74" s="20">
        <f t="shared" si="22"/>
        <v>0.1875</v>
      </c>
      <c r="T74" s="20">
        <f t="shared" si="23"/>
        <v>0.23</v>
      </c>
      <c r="U74" s="20">
        <f t="shared" si="26"/>
        <v>4.9524999999999997</v>
      </c>
      <c r="V74" s="21">
        <f t="shared" si="14"/>
        <v>0.47625000000000001</v>
      </c>
      <c r="W74" s="21">
        <f t="shared" si="24"/>
        <v>1.08125</v>
      </c>
      <c r="X74" s="21">
        <f t="shared" si="27"/>
        <v>0.97312500000000002</v>
      </c>
      <c r="Y74" s="20">
        <f t="shared" si="16"/>
        <v>2.4762499999999998</v>
      </c>
      <c r="Z74" s="20">
        <f t="shared" si="25"/>
        <v>3.0812499999999998</v>
      </c>
      <c r="AA74" s="20">
        <f t="shared" si="28"/>
        <v>2.7731249999999998</v>
      </c>
    </row>
    <row r="75" spans="9:27" x14ac:dyDescent="0.3">
      <c r="I75" s="32">
        <v>2048</v>
      </c>
      <c r="J75" s="32" t="s">
        <v>56</v>
      </c>
      <c r="K75" s="33" t="s">
        <v>105</v>
      </c>
      <c r="L75" s="22" t="s">
        <v>370</v>
      </c>
      <c r="M75" s="20">
        <v>2</v>
      </c>
      <c r="N75" s="20">
        <v>3.17</v>
      </c>
      <c r="O75" s="20">
        <f t="shared" si="18"/>
        <v>2.8529999999999998</v>
      </c>
      <c r="P75" s="20">
        <f t="shared" si="19"/>
        <v>0.25</v>
      </c>
      <c r="Q75" s="20">
        <f t="shared" si="20"/>
        <v>0.22500000000000001</v>
      </c>
      <c r="R75" s="20">
        <f t="shared" si="21"/>
        <v>0.25</v>
      </c>
      <c r="S75" s="20">
        <f t="shared" si="22"/>
        <v>0.22500000000000001</v>
      </c>
      <c r="T75" s="20">
        <f t="shared" si="23"/>
        <v>0.23</v>
      </c>
      <c r="U75" s="20">
        <f t="shared" si="26"/>
        <v>6.8529999999999998</v>
      </c>
      <c r="V75" s="21">
        <f t="shared" si="14"/>
        <v>1.4264999999999999</v>
      </c>
      <c r="W75" s="21">
        <f t="shared" si="24"/>
        <v>2.1065</v>
      </c>
      <c r="X75" s="21">
        <f t="shared" si="27"/>
        <v>1.89585</v>
      </c>
      <c r="Y75" s="20">
        <f t="shared" si="16"/>
        <v>3.4264999999999999</v>
      </c>
      <c r="Z75" s="20">
        <f t="shared" si="25"/>
        <v>4.1065000000000005</v>
      </c>
      <c r="AA75" s="20">
        <f t="shared" si="28"/>
        <v>3.6958500000000005</v>
      </c>
    </row>
    <row r="76" spans="9:27" ht="28.8" x14ac:dyDescent="0.3">
      <c r="I76" s="30">
        <v>2049</v>
      </c>
      <c r="J76" s="30" t="s">
        <v>56</v>
      </c>
      <c r="K76" s="31" t="s">
        <v>106</v>
      </c>
      <c r="L76" s="19" t="s">
        <v>367</v>
      </c>
      <c r="M76" s="20">
        <v>1</v>
      </c>
      <c r="N76" s="20">
        <v>0.64</v>
      </c>
      <c r="O76" s="20">
        <f t="shared" si="18"/>
        <v>0.48</v>
      </c>
      <c r="P76" s="20">
        <f t="shared" si="19"/>
        <v>0.25</v>
      </c>
      <c r="Q76" s="20">
        <f t="shared" si="20"/>
        <v>0.1875</v>
      </c>
      <c r="R76" s="20">
        <f t="shared" si="21"/>
        <v>0.25</v>
      </c>
      <c r="S76" s="20">
        <f t="shared" si="22"/>
        <v>0.1875</v>
      </c>
      <c r="T76" s="20">
        <f t="shared" si="23"/>
        <v>0.23</v>
      </c>
      <c r="U76" s="20">
        <f t="shared" si="26"/>
        <v>4.4800000000000004</v>
      </c>
      <c r="V76" s="21">
        <f t="shared" si="14"/>
        <v>0.24</v>
      </c>
      <c r="W76" s="21">
        <f t="shared" si="24"/>
        <v>0.84499999999999997</v>
      </c>
      <c r="X76" s="21">
        <f t="shared" si="27"/>
        <v>0.76049999999999995</v>
      </c>
      <c r="Y76" s="20">
        <f t="shared" si="16"/>
        <v>2.2400000000000002</v>
      </c>
      <c r="Z76" s="20">
        <f t="shared" si="25"/>
        <v>2.8450000000000002</v>
      </c>
      <c r="AA76" s="20">
        <f t="shared" si="28"/>
        <v>2.5605000000000002</v>
      </c>
    </row>
    <row r="77" spans="9:27" ht="28.8" x14ac:dyDescent="0.3">
      <c r="I77" s="30">
        <v>2050</v>
      </c>
      <c r="J77" s="30" t="s">
        <v>56</v>
      </c>
      <c r="K77" s="31" t="s">
        <v>107</v>
      </c>
      <c r="L77" s="19" t="s">
        <v>367</v>
      </c>
      <c r="M77" s="20">
        <v>1</v>
      </c>
      <c r="N77" s="20">
        <v>0.55000000000000004</v>
      </c>
      <c r="O77" s="20">
        <f t="shared" si="18"/>
        <v>0.41250000000000003</v>
      </c>
      <c r="P77" s="20">
        <f t="shared" si="19"/>
        <v>0.25</v>
      </c>
      <c r="Q77" s="20">
        <f t="shared" si="20"/>
        <v>0.1875</v>
      </c>
      <c r="R77" s="20">
        <f t="shared" si="21"/>
        <v>0.25</v>
      </c>
      <c r="S77" s="20">
        <f t="shared" si="22"/>
        <v>0.1875</v>
      </c>
      <c r="T77" s="20">
        <f t="shared" si="23"/>
        <v>0.23</v>
      </c>
      <c r="U77" s="20">
        <f t="shared" si="26"/>
        <v>4.4124999999999996</v>
      </c>
      <c r="V77" s="21">
        <f t="shared" si="14"/>
        <v>0.20625000000000004</v>
      </c>
      <c r="W77" s="21">
        <f t="shared" si="24"/>
        <v>0.81125000000000003</v>
      </c>
      <c r="X77" s="21">
        <f t="shared" si="27"/>
        <v>0.73012500000000002</v>
      </c>
      <c r="Y77" s="20">
        <f t="shared" si="16"/>
        <v>2.2062499999999998</v>
      </c>
      <c r="Z77" s="20">
        <f t="shared" si="25"/>
        <v>2.8112499999999998</v>
      </c>
      <c r="AA77" s="20">
        <f t="shared" si="28"/>
        <v>2.530125</v>
      </c>
    </row>
    <row r="78" spans="9:27" x14ac:dyDescent="0.3">
      <c r="I78" s="32">
        <v>2051</v>
      </c>
      <c r="J78" s="32" t="s">
        <v>56</v>
      </c>
      <c r="K78" s="33" t="s">
        <v>108</v>
      </c>
      <c r="L78" s="22" t="s">
        <v>370</v>
      </c>
      <c r="M78" s="20">
        <v>2</v>
      </c>
      <c r="N78" s="20">
        <v>0.44</v>
      </c>
      <c r="O78" s="20">
        <f t="shared" si="18"/>
        <v>0.39600000000000002</v>
      </c>
      <c r="P78" s="20">
        <f t="shared" si="19"/>
        <v>0.25</v>
      </c>
      <c r="Q78" s="20">
        <f t="shared" si="20"/>
        <v>0.22500000000000001</v>
      </c>
      <c r="R78" s="20">
        <f t="shared" si="21"/>
        <v>0.25</v>
      </c>
      <c r="S78" s="20">
        <f t="shared" si="22"/>
        <v>0.22500000000000001</v>
      </c>
      <c r="T78" s="20">
        <f t="shared" si="23"/>
        <v>0.23</v>
      </c>
      <c r="U78" s="20">
        <f t="shared" si="26"/>
        <v>4.3959999999999999</v>
      </c>
      <c r="V78" s="21">
        <f t="shared" si="14"/>
        <v>0.19800000000000001</v>
      </c>
      <c r="W78" s="21">
        <f t="shared" si="24"/>
        <v>0.878</v>
      </c>
      <c r="X78" s="21">
        <f t="shared" si="27"/>
        <v>0.79020000000000001</v>
      </c>
      <c r="Y78" s="20">
        <f t="shared" si="16"/>
        <v>2.198</v>
      </c>
      <c r="Z78" s="20">
        <f t="shared" si="25"/>
        <v>2.8780000000000001</v>
      </c>
      <c r="AA78" s="20">
        <f t="shared" si="28"/>
        <v>2.5901999999999998</v>
      </c>
    </row>
    <row r="79" spans="9:27" x14ac:dyDescent="0.3">
      <c r="I79" s="30">
        <v>2052</v>
      </c>
      <c r="J79" s="30" t="s">
        <v>56</v>
      </c>
      <c r="K79" s="31" t="s">
        <v>109</v>
      </c>
      <c r="L79" s="19" t="s">
        <v>367</v>
      </c>
      <c r="M79" s="20">
        <v>1</v>
      </c>
      <c r="N79" s="20">
        <v>5.29</v>
      </c>
      <c r="O79" s="20">
        <f t="shared" si="18"/>
        <v>3.9675000000000002</v>
      </c>
      <c r="P79" s="20">
        <f t="shared" si="19"/>
        <v>0.25</v>
      </c>
      <c r="Q79" s="20">
        <f t="shared" si="20"/>
        <v>0.1875</v>
      </c>
      <c r="R79" s="20">
        <f t="shared" si="21"/>
        <v>0.25</v>
      </c>
      <c r="S79" s="20">
        <f t="shared" si="22"/>
        <v>0.1875</v>
      </c>
      <c r="T79" s="20">
        <f t="shared" si="23"/>
        <v>0.23</v>
      </c>
      <c r="U79" s="20">
        <f t="shared" si="26"/>
        <v>7.9675000000000002</v>
      </c>
      <c r="V79" s="21">
        <f t="shared" si="14"/>
        <v>1.9837500000000003</v>
      </c>
      <c r="W79" s="21">
        <f t="shared" si="24"/>
        <v>2.5887500000000006</v>
      </c>
      <c r="X79" s="21">
        <f t="shared" si="27"/>
        <v>2.3298750000000004</v>
      </c>
      <c r="Y79" s="20">
        <f t="shared" si="16"/>
        <v>3.9837500000000001</v>
      </c>
      <c r="Z79" s="20">
        <f t="shared" si="25"/>
        <v>4.588750000000001</v>
      </c>
      <c r="AA79" s="20">
        <f t="shared" si="28"/>
        <v>4.1298750000000011</v>
      </c>
    </row>
    <row r="80" spans="9:27" ht="57.6" x14ac:dyDescent="0.3">
      <c r="I80" s="32">
        <v>2053</v>
      </c>
      <c r="J80" s="32" t="s">
        <v>56</v>
      </c>
      <c r="K80" s="33" t="s">
        <v>110</v>
      </c>
      <c r="L80" s="22" t="s">
        <v>369</v>
      </c>
      <c r="M80" s="20">
        <v>4</v>
      </c>
      <c r="N80" s="20">
        <v>1.32</v>
      </c>
      <c r="O80" s="20">
        <f t="shared" si="18"/>
        <v>3.4320000000000004</v>
      </c>
      <c r="P80" s="20">
        <f t="shared" si="19"/>
        <v>0.25</v>
      </c>
      <c r="Q80" s="20">
        <f t="shared" si="20"/>
        <v>0.65</v>
      </c>
      <c r="R80" s="20">
        <f t="shared" si="21"/>
        <v>0.25</v>
      </c>
      <c r="S80" s="20">
        <f t="shared" si="22"/>
        <v>0.65</v>
      </c>
      <c r="T80" s="20">
        <f t="shared" si="23"/>
        <v>0.23</v>
      </c>
      <c r="U80" s="20">
        <f t="shared" si="26"/>
        <v>7.4320000000000004</v>
      </c>
      <c r="V80" s="21">
        <f t="shared" si="14"/>
        <v>1.7160000000000002</v>
      </c>
      <c r="W80" s="21">
        <f t="shared" si="24"/>
        <v>3.246</v>
      </c>
      <c r="X80" s="21">
        <f t="shared" si="27"/>
        <v>2.9213999999999998</v>
      </c>
      <c r="Y80" s="20">
        <f t="shared" si="16"/>
        <v>3.7160000000000002</v>
      </c>
      <c r="Z80" s="20">
        <f t="shared" si="25"/>
        <v>5.2460000000000013</v>
      </c>
      <c r="AA80" s="20">
        <f t="shared" si="28"/>
        <v>4.7214000000000009</v>
      </c>
    </row>
    <row r="81" spans="9:27" x14ac:dyDescent="0.3">
      <c r="I81" s="30">
        <v>2054</v>
      </c>
      <c r="J81" s="30" t="s">
        <v>56</v>
      </c>
      <c r="K81" s="31" t="s">
        <v>111</v>
      </c>
      <c r="L81" s="19" t="s">
        <v>367</v>
      </c>
      <c r="M81" s="20">
        <v>1</v>
      </c>
      <c r="N81" s="20">
        <v>1.49</v>
      </c>
      <c r="O81" s="20">
        <f t="shared" si="18"/>
        <v>1.1174999999999999</v>
      </c>
      <c r="P81" s="20">
        <f t="shared" si="19"/>
        <v>0.25</v>
      </c>
      <c r="Q81" s="20">
        <f t="shared" si="20"/>
        <v>0.1875</v>
      </c>
      <c r="R81" s="20">
        <f t="shared" si="21"/>
        <v>0.25</v>
      </c>
      <c r="S81" s="20">
        <f t="shared" si="22"/>
        <v>0.1875</v>
      </c>
      <c r="T81" s="20">
        <f t="shared" si="23"/>
        <v>0.23</v>
      </c>
      <c r="U81" s="20">
        <f t="shared" si="26"/>
        <v>5.1174999999999997</v>
      </c>
      <c r="V81" s="21">
        <f t="shared" si="14"/>
        <v>0.55874999999999997</v>
      </c>
      <c r="W81" s="21">
        <f t="shared" si="24"/>
        <v>1.1637499999999998</v>
      </c>
      <c r="X81" s="21">
        <f t="shared" si="27"/>
        <v>1.0473749999999997</v>
      </c>
      <c r="Y81" s="20">
        <f t="shared" si="16"/>
        <v>2.5587499999999999</v>
      </c>
      <c r="Z81" s="20">
        <f t="shared" si="25"/>
        <v>3.1637499999999998</v>
      </c>
      <c r="AA81" s="20">
        <f t="shared" si="28"/>
        <v>2.847375</v>
      </c>
    </row>
    <row r="82" spans="9:27" x14ac:dyDescent="0.3">
      <c r="I82" s="30">
        <v>2055</v>
      </c>
      <c r="J82" s="30" t="s">
        <v>56</v>
      </c>
      <c r="K82" s="31" t="s">
        <v>112</v>
      </c>
      <c r="L82" s="19" t="s">
        <v>367</v>
      </c>
      <c r="M82" s="20">
        <v>1</v>
      </c>
      <c r="N82" s="20">
        <v>0.67</v>
      </c>
      <c r="O82" s="20">
        <f t="shared" si="18"/>
        <v>0.50250000000000006</v>
      </c>
      <c r="P82" s="20">
        <f t="shared" si="19"/>
        <v>0.25</v>
      </c>
      <c r="Q82" s="20">
        <f t="shared" si="20"/>
        <v>0.1875</v>
      </c>
      <c r="R82" s="20">
        <f t="shared" si="21"/>
        <v>0.25</v>
      </c>
      <c r="S82" s="20">
        <f t="shared" si="22"/>
        <v>0.1875</v>
      </c>
      <c r="T82" s="20">
        <f t="shared" si="23"/>
        <v>0.23</v>
      </c>
      <c r="U82" s="20">
        <f t="shared" si="26"/>
        <v>4.5025000000000004</v>
      </c>
      <c r="V82" s="21">
        <f t="shared" si="14"/>
        <v>0.25125000000000003</v>
      </c>
      <c r="W82" s="21">
        <f t="shared" si="24"/>
        <v>0.85625000000000007</v>
      </c>
      <c r="X82" s="21">
        <f t="shared" si="27"/>
        <v>0.770625</v>
      </c>
      <c r="Y82" s="20">
        <f t="shared" si="16"/>
        <v>2.2512500000000002</v>
      </c>
      <c r="Z82" s="20">
        <f t="shared" si="25"/>
        <v>2.8562500000000002</v>
      </c>
      <c r="AA82" s="20">
        <f t="shared" si="28"/>
        <v>2.5706250000000002</v>
      </c>
    </row>
    <row r="83" spans="9:27" x14ac:dyDescent="0.3">
      <c r="I83" s="30">
        <v>2056</v>
      </c>
      <c r="J83" s="30" t="s">
        <v>56</v>
      </c>
      <c r="K83" s="31" t="s">
        <v>113</v>
      </c>
      <c r="L83" s="19" t="s">
        <v>367</v>
      </c>
      <c r="M83" s="20">
        <v>1</v>
      </c>
      <c r="N83" s="20">
        <v>0.56999999999999995</v>
      </c>
      <c r="O83" s="20">
        <f t="shared" si="18"/>
        <v>0.42749999999999999</v>
      </c>
      <c r="P83" s="20">
        <f t="shared" si="19"/>
        <v>0.25</v>
      </c>
      <c r="Q83" s="20">
        <f t="shared" si="20"/>
        <v>0.1875</v>
      </c>
      <c r="R83" s="20">
        <f t="shared" si="21"/>
        <v>0.25</v>
      </c>
      <c r="S83" s="20">
        <f t="shared" si="22"/>
        <v>0.1875</v>
      </c>
      <c r="T83" s="20">
        <f t="shared" si="23"/>
        <v>0.23</v>
      </c>
      <c r="U83" s="20">
        <f t="shared" si="26"/>
        <v>4.4275000000000002</v>
      </c>
      <c r="V83" s="21">
        <f t="shared" si="14"/>
        <v>0.21375</v>
      </c>
      <c r="W83" s="21">
        <f t="shared" si="24"/>
        <v>0.81874999999999998</v>
      </c>
      <c r="X83" s="21">
        <f t="shared" si="27"/>
        <v>0.73687499999999995</v>
      </c>
      <c r="Y83" s="20">
        <f t="shared" si="16"/>
        <v>2.2137500000000001</v>
      </c>
      <c r="Z83" s="20">
        <f t="shared" si="25"/>
        <v>2.8187500000000001</v>
      </c>
      <c r="AA83" s="20">
        <f t="shared" si="28"/>
        <v>2.5368750000000002</v>
      </c>
    </row>
    <row r="84" spans="9:27" x14ac:dyDescent="0.3">
      <c r="I84" s="32">
        <v>2057</v>
      </c>
      <c r="J84" s="32" t="s">
        <v>56</v>
      </c>
      <c r="K84" s="33" t="s">
        <v>114</v>
      </c>
      <c r="L84" s="22" t="s">
        <v>370</v>
      </c>
      <c r="M84" s="20">
        <v>2</v>
      </c>
      <c r="N84" s="20">
        <v>2.48</v>
      </c>
      <c r="O84" s="20">
        <f t="shared" si="18"/>
        <v>2.2320000000000002</v>
      </c>
      <c r="P84" s="20">
        <f t="shared" si="19"/>
        <v>0.25</v>
      </c>
      <c r="Q84" s="20">
        <f t="shared" si="20"/>
        <v>0.22500000000000001</v>
      </c>
      <c r="R84" s="20">
        <f t="shared" si="21"/>
        <v>0.25</v>
      </c>
      <c r="S84" s="20">
        <f t="shared" si="22"/>
        <v>0.22500000000000001</v>
      </c>
      <c r="T84" s="20">
        <f t="shared" si="23"/>
        <v>0.23</v>
      </c>
      <c r="U84" s="20">
        <f t="shared" si="26"/>
        <v>6.2320000000000002</v>
      </c>
      <c r="V84" s="21">
        <f t="shared" si="14"/>
        <v>1.1160000000000001</v>
      </c>
      <c r="W84" s="21">
        <f t="shared" si="24"/>
        <v>1.7960000000000003</v>
      </c>
      <c r="X84" s="21">
        <f t="shared" si="27"/>
        <v>1.6164000000000001</v>
      </c>
      <c r="Y84" s="20">
        <f t="shared" si="16"/>
        <v>3.1160000000000001</v>
      </c>
      <c r="Z84" s="20">
        <f t="shared" si="25"/>
        <v>3.7960000000000003</v>
      </c>
      <c r="AA84" s="20">
        <f t="shared" si="28"/>
        <v>3.4164000000000003</v>
      </c>
    </row>
    <row r="85" spans="9:27" ht="28.8" x14ac:dyDescent="0.3">
      <c r="I85" s="30">
        <v>2058</v>
      </c>
      <c r="J85" s="30" t="s">
        <v>56</v>
      </c>
      <c r="K85" s="31" t="s">
        <v>115</v>
      </c>
      <c r="L85" s="19" t="s">
        <v>367</v>
      </c>
      <c r="M85" s="20">
        <v>1</v>
      </c>
      <c r="N85" s="20">
        <v>1.28</v>
      </c>
      <c r="O85" s="20">
        <f t="shared" si="18"/>
        <v>0.96</v>
      </c>
      <c r="P85" s="20">
        <f t="shared" si="19"/>
        <v>0.25</v>
      </c>
      <c r="Q85" s="20">
        <f t="shared" si="20"/>
        <v>0.1875</v>
      </c>
      <c r="R85" s="20">
        <f t="shared" si="21"/>
        <v>0.25</v>
      </c>
      <c r="S85" s="20">
        <f t="shared" si="22"/>
        <v>0.1875</v>
      </c>
      <c r="T85" s="20">
        <f t="shared" si="23"/>
        <v>0.23</v>
      </c>
      <c r="U85" s="20">
        <f t="shared" si="26"/>
        <v>4.96</v>
      </c>
      <c r="V85" s="21">
        <f t="shared" si="14"/>
        <v>0.48</v>
      </c>
      <c r="W85" s="21">
        <f t="shared" si="24"/>
        <v>1.085</v>
      </c>
      <c r="X85" s="21">
        <f t="shared" si="27"/>
        <v>0.97649999999999992</v>
      </c>
      <c r="Y85" s="20">
        <f t="shared" si="16"/>
        <v>2.48</v>
      </c>
      <c r="Z85" s="20">
        <f t="shared" si="25"/>
        <v>3.085</v>
      </c>
      <c r="AA85" s="20">
        <f t="shared" si="28"/>
        <v>2.7765</v>
      </c>
    </row>
    <row r="86" spans="9:27" x14ac:dyDescent="0.3">
      <c r="I86" s="30">
        <v>2059</v>
      </c>
      <c r="J86" s="30" t="s">
        <v>56</v>
      </c>
      <c r="K86" s="31" t="s">
        <v>116</v>
      </c>
      <c r="L86" s="19" t="s">
        <v>367</v>
      </c>
      <c r="M86" s="20">
        <v>1</v>
      </c>
      <c r="N86" s="20">
        <v>0.52</v>
      </c>
      <c r="O86" s="20">
        <f t="shared" si="18"/>
        <v>0.39</v>
      </c>
      <c r="P86" s="20">
        <f t="shared" si="19"/>
        <v>0.25</v>
      </c>
      <c r="Q86" s="20">
        <f t="shared" si="20"/>
        <v>0.1875</v>
      </c>
      <c r="R86" s="20">
        <f t="shared" si="21"/>
        <v>0.25</v>
      </c>
      <c r="S86" s="20">
        <f t="shared" si="22"/>
        <v>0.1875</v>
      </c>
      <c r="T86" s="20">
        <f t="shared" si="23"/>
        <v>0.23</v>
      </c>
      <c r="U86" s="20">
        <f t="shared" si="26"/>
        <v>4.3899999999999997</v>
      </c>
      <c r="V86" s="21">
        <f t="shared" si="14"/>
        <v>0.19500000000000001</v>
      </c>
      <c r="W86" s="21">
        <f t="shared" si="24"/>
        <v>0.8</v>
      </c>
      <c r="X86" s="21">
        <f t="shared" si="27"/>
        <v>0.72</v>
      </c>
      <c r="Y86" s="20">
        <f t="shared" si="16"/>
        <v>2.1949999999999998</v>
      </c>
      <c r="Z86" s="20">
        <f t="shared" si="25"/>
        <v>2.8</v>
      </c>
      <c r="AA86" s="20">
        <f t="shared" si="28"/>
        <v>2.5199999999999996</v>
      </c>
    </row>
    <row r="87" spans="9:27" ht="28.8" x14ac:dyDescent="0.3">
      <c r="I87" s="32">
        <v>2060</v>
      </c>
      <c r="J87" s="32" t="s">
        <v>56</v>
      </c>
      <c r="K87" s="33" t="s">
        <v>117</v>
      </c>
      <c r="L87" s="22" t="s">
        <v>368</v>
      </c>
      <c r="M87" s="20">
        <v>3</v>
      </c>
      <c r="N87" s="20">
        <v>0.98</v>
      </c>
      <c r="O87" s="20">
        <f t="shared" si="18"/>
        <v>1.2250000000000001</v>
      </c>
      <c r="P87" s="20">
        <f t="shared" si="19"/>
        <v>0.25</v>
      </c>
      <c r="Q87" s="20">
        <f t="shared" si="20"/>
        <v>0.3125</v>
      </c>
      <c r="R87" s="20">
        <f t="shared" si="21"/>
        <v>0.25</v>
      </c>
      <c r="S87" s="20">
        <f t="shared" si="22"/>
        <v>0.3125</v>
      </c>
      <c r="T87" s="20">
        <f t="shared" si="23"/>
        <v>0.23</v>
      </c>
      <c r="U87" s="20">
        <f t="shared" si="26"/>
        <v>5.2249999999999996</v>
      </c>
      <c r="V87" s="21">
        <f t="shared" si="14"/>
        <v>0.61250000000000004</v>
      </c>
      <c r="W87" s="21">
        <f t="shared" si="24"/>
        <v>1.4675</v>
      </c>
      <c r="X87" s="21">
        <f t="shared" si="27"/>
        <v>1.3207499999999999</v>
      </c>
      <c r="Y87" s="20">
        <f t="shared" si="16"/>
        <v>2.6124999999999998</v>
      </c>
      <c r="Z87" s="20">
        <f t="shared" si="25"/>
        <v>3.4674999999999998</v>
      </c>
      <c r="AA87" s="20">
        <f t="shared" si="28"/>
        <v>3.1207499999999997</v>
      </c>
    </row>
    <row r="88" spans="9:27" ht="28.8" x14ac:dyDescent="0.3">
      <c r="I88" s="30">
        <v>2209</v>
      </c>
      <c r="J88" s="30" t="s">
        <v>56</v>
      </c>
      <c r="K88" s="31" t="s">
        <v>118</v>
      </c>
      <c r="L88" s="19" t="s">
        <v>367</v>
      </c>
      <c r="M88" s="20">
        <v>1</v>
      </c>
      <c r="N88" s="20">
        <v>0.88</v>
      </c>
      <c r="O88" s="20">
        <f t="shared" si="18"/>
        <v>0.66</v>
      </c>
      <c r="P88" s="20">
        <f t="shared" si="19"/>
        <v>0.25</v>
      </c>
      <c r="Q88" s="20">
        <f t="shared" si="20"/>
        <v>0.1875</v>
      </c>
      <c r="R88" s="20">
        <f t="shared" si="21"/>
        <v>0.25</v>
      </c>
      <c r="S88" s="20">
        <f t="shared" si="22"/>
        <v>0.1875</v>
      </c>
      <c r="T88" s="20">
        <f t="shared" si="23"/>
        <v>0.23</v>
      </c>
      <c r="U88" s="20">
        <f t="shared" si="26"/>
        <v>4.66</v>
      </c>
      <c r="V88" s="21">
        <f t="shared" si="14"/>
        <v>0.33</v>
      </c>
      <c r="W88" s="21">
        <f t="shared" si="24"/>
        <v>0.93500000000000005</v>
      </c>
      <c r="X88" s="21">
        <f t="shared" si="27"/>
        <v>0.84150000000000003</v>
      </c>
      <c r="Y88" s="20">
        <f t="shared" si="16"/>
        <v>2.33</v>
      </c>
      <c r="Z88" s="20">
        <f t="shared" si="25"/>
        <v>2.9350000000000001</v>
      </c>
      <c r="AA88" s="20">
        <f t="shared" si="28"/>
        <v>2.6414999999999997</v>
      </c>
    </row>
    <row r="89" spans="9:27" x14ac:dyDescent="0.3">
      <c r="I89" s="32">
        <v>2061</v>
      </c>
      <c r="J89" s="32" t="s">
        <v>56</v>
      </c>
      <c r="K89" s="33" t="s">
        <v>119</v>
      </c>
      <c r="L89" s="22" t="s">
        <v>370</v>
      </c>
      <c r="M89" s="20">
        <v>2</v>
      </c>
      <c r="N89" s="20">
        <v>0.77</v>
      </c>
      <c r="O89" s="20">
        <f t="shared" si="18"/>
        <v>0.69300000000000006</v>
      </c>
      <c r="P89" s="20">
        <f t="shared" si="19"/>
        <v>0.25</v>
      </c>
      <c r="Q89" s="20">
        <f t="shared" si="20"/>
        <v>0.22500000000000001</v>
      </c>
      <c r="R89" s="20">
        <f t="shared" si="21"/>
        <v>0.25</v>
      </c>
      <c r="S89" s="20">
        <f t="shared" si="22"/>
        <v>0.22500000000000001</v>
      </c>
      <c r="T89" s="20">
        <f t="shared" si="23"/>
        <v>0.23</v>
      </c>
      <c r="U89" s="20">
        <f t="shared" si="26"/>
        <v>4.6929999999999996</v>
      </c>
      <c r="V89" s="21">
        <f t="shared" si="14"/>
        <v>0.34650000000000003</v>
      </c>
      <c r="W89" s="21">
        <f t="shared" si="24"/>
        <v>1.0265</v>
      </c>
      <c r="X89" s="21">
        <f t="shared" si="27"/>
        <v>0.92384999999999995</v>
      </c>
      <c r="Y89" s="20">
        <f t="shared" si="16"/>
        <v>2.3464999999999998</v>
      </c>
      <c r="Z89" s="20">
        <f t="shared" si="25"/>
        <v>3.0265</v>
      </c>
      <c r="AA89" s="20">
        <f t="shared" si="28"/>
        <v>2.7238500000000001</v>
      </c>
    </row>
    <row r="90" spans="9:27" x14ac:dyDescent="0.3">
      <c r="I90" s="30">
        <v>2062</v>
      </c>
      <c r="J90" s="30" t="s">
        <v>56</v>
      </c>
      <c r="K90" s="31" t="s">
        <v>120</v>
      </c>
      <c r="L90" s="19" t="s">
        <v>367</v>
      </c>
      <c r="M90" s="20">
        <v>1</v>
      </c>
      <c r="N90" s="20">
        <v>2.36</v>
      </c>
      <c r="O90" s="20">
        <f t="shared" si="18"/>
        <v>1.77</v>
      </c>
      <c r="P90" s="20">
        <f t="shared" si="19"/>
        <v>0.25</v>
      </c>
      <c r="Q90" s="20">
        <f t="shared" si="20"/>
        <v>0.1875</v>
      </c>
      <c r="R90" s="20">
        <f t="shared" si="21"/>
        <v>0.25</v>
      </c>
      <c r="S90" s="20">
        <f t="shared" si="22"/>
        <v>0.1875</v>
      </c>
      <c r="T90" s="20">
        <f t="shared" si="23"/>
        <v>0.23</v>
      </c>
      <c r="U90" s="20">
        <f t="shared" si="26"/>
        <v>5.77</v>
      </c>
      <c r="V90" s="21">
        <f t="shared" si="14"/>
        <v>0.88500000000000001</v>
      </c>
      <c r="W90" s="21">
        <f t="shared" si="24"/>
        <v>1.49</v>
      </c>
      <c r="X90" s="21">
        <f t="shared" si="27"/>
        <v>1.341</v>
      </c>
      <c r="Y90" s="20">
        <f t="shared" si="16"/>
        <v>2.8849999999999998</v>
      </c>
      <c r="Z90" s="20">
        <f t="shared" si="25"/>
        <v>3.4899999999999998</v>
      </c>
      <c r="AA90" s="20">
        <f t="shared" si="28"/>
        <v>3.1409999999999996</v>
      </c>
    </row>
    <row r="91" spans="9:27" x14ac:dyDescent="0.3">
      <c r="I91" s="32">
        <v>2063</v>
      </c>
      <c r="J91" s="32" t="s">
        <v>56</v>
      </c>
      <c r="K91" s="33" t="s">
        <v>121</v>
      </c>
      <c r="L91" s="22" t="s">
        <v>368</v>
      </c>
      <c r="M91" s="20">
        <v>3</v>
      </c>
      <c r="N91" s="20">
        <v>2.15</v>
      </c>
      <c r="O91" s="20">
        <f t="shared" si="18"/>
        <v>2.6875</v>
      </c>
      <c r="P91" s="20">
        <f t="shared" si="19"/>
        <v>0.25</v>
      </c>
      <c r="Q91" s="20">
        <f t="shared" si="20"/>
        <v>0.3125</v>
      </c>
      <c r="R91" s="20">
        <f t="shared" si="21"/>
        <v>0.25</v>
      </c>
      <c r="S91" s="20">
        <f t="shared" si="22"/>
        <v>0.3125</v>
      </c>
      <c r="T91" s="20">
        <f t="shared" si="23"/>
        <v>0.23</v>
      </c>
      <c r="U91" s="20">
        <f t="shared" si="26"/>
        <v>6.6875</v>
      </c>
      <c r="V91" s="21">
        <f t="shared" si="14"/>
        <v>1.34375</v>
      </c>
      <c r="W91" s="21">
        <f t="shared" si="24"/>
        <v>2.19875</v>
      </c>
      <c r="X91" s="21">
        <f t="shared" si="27"/>
        <v>1.9788749999999999</v>
      </c>
      <c r="Y91" s="20">
        <f t="shared" si="16"/>
        <v>3.34375</v>
      </c>
      <c r="Z91" s="20">
        <f t="shared" si="25"/>
        <v>4.1987500000000004</v>
      </c>
      <c r="AA91" s="20">
        <f t="shared" si="28"/>
        <v>3.7788750000000007</v>
      </c>
    </row>
    <row r="92" spans="9:27" x14ac:dyDescent="0.3">
      <c r="I92" s="32">
        <v>2064</v>
      </c>
      <c r="J92" s="32" t="s">
        <v>56</v>
      </c>
      <c r="K92" s="33" t="s">
        <v>122</v>
      </c>
      <c r="L92" s="22" t="s">
        <v>369</v>
      </c>
      <c r="M92" s="20">
        <v>4</v>
      </c>
      <c r="N92" s="20">
        <v>2.39</v>
      </c>
      <c r="O92" s="20">
        <f t="shared" si="18"/>
        <v>6.2140000000000004</v>
      </c>
      <c r="P92" s="20">
        <f t="shared" si="19"/>
        <v>0.25</v>
      </c>
      <c r="Q92" s="20">
        <f t="shared" si="20"/>
        <v>0.65</v>
      </c>
      <c r="R92" s="20">
        <f t="shared" si="21"/>
        <v>0.25</v>
      </c>
      <c r="S92" s="20">
        <f t="shared" si="22"/>
        <v>0.65</v>
      </c>
      <c r="T92" s="20">
        <f t="shared" si="23"/>
        <v>0.23</v>
      </c>
      <c r="U92" s="20">
        <f t="shared" si="26"/>
        <v>10.214</v>
      </c>
      <c r="V92" s="21">
        <f t="shared" si="14"/>
        <v>3.1069999999999998</v>
      </c>
      <c r="W92" s="21">
        <f t="shared" si="24"/>
        <v>4.6369999999999996</v>
      </c>
      <c r="X92" s="21">
        <f t="shared" si="27"/>
        <v>4.1733000000000002</v>
      </c>
      <c r="Y92" s="20">
        <f t="shared" si="16"/>
        <v>5.1070000000000002</v>
      </c>
      <c r="Z92" s="20">
        <f t="shared" si="25"/>
        <v>6.6370000000000013</v>
      </c>
      <c r="AA92" s="20">
        <f t="shared" si="28"/>
        <v>5.9733000000000018</v>
      </c>
    </row>
    <row r="93" spans="9:27" x14ac:dyDescent="0.3">
      <c r="I93" s="30">
        <v>2065</v>
      </c>
      <c r="J93" s="30" t="s">
        <v>56</v>
      </c>
      <c r="K93" s="31" t="s">
        <v>123</v>
      </c>
      <c r="L93" s="19" t="s">
        <v>367</v>
      </c>
      <c r="M93" s="20">
        <v>1</v>
      </c>
      <c r="N93" s="20">
        <v>0.74</v>
      </c>
      <c r="O93" s="20">
        <f t="shared" si="18"/>
        <v>0.55499999999999994</v>
      </c>
      <c r="P93" s="20">
        <f t="shared" si="19"/>
        <v>0.25</v>
      </c>
      <c r="Q93" s="20">
        <f t="shared" si="20"/>
        <v>0.1875</v>
      </c>
      <c r="R93" s="20">
        <f t="shared" si="21"/>
        <v>0.25</v>
      </c>
      <c r="S93" s="20">
        <f t="shared" si="22"/>
        <v>0.1875</v>
      </c>
      <c r="T93" s="20">
        <f t="shared" si="23"/>
        <v>0.23</v>
      </c>
      <c r="U93" s="20">
        <f t="shared" si="26"/>
        <v>4.5549999999999997</v>
      </c>
      <c r="V93" s="21">
        <f t="shared" si="14"/>
        <v>0.27749999999999997</v>
      </c>
      <c r="W93" s="21">
        <f t="shared" si="24"/>
        <v>0.88249999999999995</v>
      </c>
      <c r="X93" s="21">
        <f t="shared" si="27"/>
        <v>0.79425000000000001</v>
      </c>
      <c r="Y93" s="20">
        <f t="shared" si="16"/>
        <v>2.2774999999999999</v>
      </c>
      <c r="Z93" s="20">
        <f t="shared" si="25"/>
        <v>2.8824999999999998</v>
      </c>
      <c r="AA93" s="20">
        <f t="shared" si="28"/>
        <v>2.5942500000000002</v>
      </c>
    </row>
    <row r="94" spans="9:27" x14ac:dyDescent="0.3">
      <c r="I94" s="30">
        <v>2066</v>
      </c>
      <c r="J94" s="30" t="s">
        <v>56</v>
      </c>
      <c r="K94" s="31" t="s">
        <v>124</v>
      </c>
      <c r="L94" s="19" t="s">
        <v>367</v>
      </c>
      <c r="M94" s="20">
        <v>1</v>
      </c>
      <c r="N94" s="20">
        <v>1.44</v>
      </c>
      <c r="O94" s="20">
        <f t="shared" si="18"/>
        <v>1.08</v>
      </c>
      <c r="P94" s="20">
        <f t="shared" si="19"/>
        <v>0.25</v>
      </c>
      <c r="Q94" s="20">
        <f t="shared" si="20"/>
        <v>0.1875</v>
      </c>
      <c r="R94" s="20">
        <f t="shared" si="21"/>
        <v>0.25</v>
      </c>
      <c r="S94" s="20">
        <f t="shared" si="22"/>
        <v>0.1875</v>
      </c>
      <c r="T94" s="20">
        <f t="shared" si="23"/>
        <v>0.23</v>
      </c>
      <c r="U94" s="20">
        <f t="shared" si="26"/>
        <v>5.08</v>
      </c>
      <c r="V94" s="21">
        <f t="shared" si="14"/>
        <v>0.54</v>
      </c>
      <c r="W94" s="21">
        <f t="shared" si="24"/>
        <v>1.145</v>
      </c>
      <c r="X94" s="21">
        <f t="shared" si="27"/>
        <v>1.0305</v>
      </c>
      <c r="Y94" s="20">
        <f t="shared" si="16"/>
        <v>2.54</v>
      </c>
      <c r="Z94" s="20">
        <f t="shared" si="25"/>
        <v>3.145</v>
      </c>
      <c r="AA94" s="20">
        <f t="shared" si="28"/>
        <v>2.8305000000000002</v>
      </c>
    </row>
    <row r="95" spans="9:27" x14ac:dyDescent="0.3">
      <c r="I95" s="30">
        <v>2067</v>
      </c>
      <c r="J95" s="30" t="s">
        <v>56</v>
      </c>
      <c r="K95" s="31" t="s">
        <v>125</v>
      </c>
      <c r="L95" s="19" t="s">
        <v>367</v>
      </c>
      <c r="M95" s="20">
        <v>1</v>
      </c>
      <c r="N95" s="20">
        <v>1.1200000000000001</v>
      </c>
      <c r="O95" s="20">
        <f t="shared" si="18"/>
        <v>0.84000000000000008</v>
      </c>
      <c r="P95" s="20">
        <f t="shared" si="19"/>
        <v>0.25</v>
      </c>
      <c r="Q95" s="20">
        <f t="shared" si="20"/>
        <v>0.1875</v>
      </c>
      <c r="R95" s="20">
        <f t="shared" si="21"/>
        <v>0.25</v>
      </c>
      <c r="S95" s="20">
        <f t="shared" si="22"/>
        <v>0.1875</v>
      </c>
      <c r="T95" s="20">
        <f t="shared" si="23"/>
        <v>0.23</v>
      </c>
      <c r="U95" s="20">
        <f t="shared" si="26"/>
        <v>4.84</v>
      </c>
      <c r="V95" s="21">
        <f t="shared" si="14"/>
        <v>0.42</v>
      </c>
      <c r="W95" s="21">
        <f t="shared" si="24"/>
        <v>1.0249999999999999</v>
      </c>
      <c r="X95" s="21">
        <f t="shared" si="27"/>
        <v>0.92249999999999988</v>
      </c>
      <c r="Y95" s="20">
        <f t="shared" si="16"/>
        <v>2.42</v>
      </c>
      <c r="Z95" s="20">
        <f t="shared" si="25"/>
        <v>3.0249999999999999</v>
      </c>
      <c r="AA95" s="20">
        <f t="shared" si="28"/>
        <v>2.7225000000000001</v>
      </c>
    </row>
    <row r="96" spans="9:27" x14ac:dyDescent="0.3">
      <c r="I96" s="30">
        <v>2231</v>
      </c>
      <c r="J96" s="30" t="s">
        <v>56</v>
      </c>
      <c r="K96" s="31" t="s">
        <v>126</v>
      </c>
      <c r="L96" s="19" t="s">
        <v>367</v>
      </c>
      <c r="M96" s="20">
        <v>1</v>
      </c>
      <c r="N96" s="20">
        <v>1.18</v>
      </c>
      <c r="O96" s="20">
        <f t="shared" si="18"/>
        <v>0.88500000000000001</v>
      </c>
      <c r="P96" s="20">
        <f t="shared" si="19"/>
        <v>0.25</v>
      </c>
      <c r="Q96" s="20">
        <f t="shared" si="20"/>
        <v>0.1875</v>
      </c>
      <c r="R96" s="20">
        <f t="shared" si="21"/>
        <v>0.25</v>
      </c>
      <c r="S96" s="20">
        <f t="shared" si="22"/>
        <v>0.1875</v>
      </c>
      <c r="T96" s="20">
        <f t="shared" si="23"/>
        <v>0.23</v>
      </c>
      <c r="U96" s="20">
        <f t="shared" si="26"/>
        <v>4.8849999999999998</v>
      </c>
      <c r="V96" s="21">
        <f t="shared" si="14"/>
        <v>0.4425</v>
      </c>
      <c r="W96" s="21">
        <f t="shared" si="24"/>
        <v>1.0474999999999999</v>
      </c>
      <c r="X96" s="21">
        <f t="shared" si="27"/>
        <v>0.94274999999999987</v>
      </c>
      <c r="Y96" s="20">
        <f t="shared" si="16"/>
        <v>2.4424999999999999</v>
      </c>
      <c r="Z96" s="20">
        <f t="shared" si="25"/>
        <v>3.0474999999999999</v>
      </c>
      <c r="AA96" s="20">
        <f t="shared" si="28"/>
        <v>2.7427499999999996</v>
      </c>
    </row>
    <row r="97" spans="9:27" x14ac:dyDescent="0.3">
      <c r="I97" s="30">
        <v>2068</v>
      </c>
      <c r="J97" s="30" t="s">
        <v>56</v>
      </c>
      <c r="K97" s="31" t="s">
        <v>127</v>
      </c>
      <c r="L97" s="19" t="s">
        <v>367</v>
      </c>
      <c r="M97" s="20">
        <v>1</v>
      </c>
      <c r="N97" s="20">
        <v>0.83</v>
      </c>
      <c r="O97" s="20">
        <f t="shared" si="18"/>
        <v>0.62249999999999994</v>
      </c>
      <c r="P97" s="20">
        <f t="shared" si="19"/>
        <v>0.25</v>
      </c>
      <c r="Q97" s="20">
        <f t="shared" si="20"/>
        <v>0.1875</v>
      </c>
      <c r="R97" s="20">
        <f t="shared" si="21"/>
        <v>0.25</v>
      </c>
      <c r="S97" s="20">
        <f t="shared" si="22"/>
        <v>0.1875</v>
      </c>
      <c r="T97" s="20">
        <f t="shared" si="23"/>
        <v>0.23</v>
      </c>
      <c r="U97" s="20">
        <f t="shared" si="26"/>
        <v>4.6224999999999996</v>
      </c>
      <c r="V97" s="21">
        <f t="shared" si="14"/>
        <v>0.31124999999999997</v>
      </c>
      <c r="W97" s="21">
        <f t="shared" si="24"/>
        <v>0.91625000000000001</v>
      </c>
      <c r="X97" s="21">
        <f t="shared" si="27"/>
        <v>0.82462500000000005</v>
      </c>
      <c r="Y97" s="20">
        <f t="shared" si="16"/>
        <v>2.3112499999999998</v>
      </c>
      <c r="Z97" s="20">
        <f t="shared" si="25"/>
        <v>2.9162499999999998</v>
      </c>
      <c r="AA97" s="20">
        <f t="shared" si="28"/>
        <v>2.624625</v>
      </c>
    </row>
    <row r="98" spans="9:27" x14ac:dyDescent="0.3">
      <c r="I98" s="30">
        <v>2069</v>
      </c>
      <c r="J98" s="30" t="s">
        <v>56</v>
      </c>
      <c r="K98" s="31" t="s">
        <v>128</v>
      </c>
      <c r="L98" s="19" t="s">
        <v>367</v>
      </c>
      <c r="M98" s="20">
        <v>1</v>
      </c>
      <c r="N98" s="20">
        <v>1.61</v>
      </c>
      <c r="O98" s="20">
        <f t="shared" si="18"/>
        <v>1.2075</v>
      </c>
      <c r="P98" s="20">
        <f t="shared" si="19"/>
        <v>0.25</v>
      </c>
      <c r="Q98" s="20">
        <f t="shared" si="20"/>
        <v>0.1875</v>
      </c>
      <c r="R98" s="20">
        <f t="shared" si="21"/>
        <v>0.25</v>
      </c>
      <c r="S98" s="20">
        <f t="shared" si="22"/>
        <v>0.1875</v>
      </c>
      <c r="T98" s="20">
        <f t="shared" si="23"/>
        <v>0.23</v>
      </c>
      <c r="U98" s="20">
        <f t="shared" si="26"/>
        <v>5.2074999999999996</v>
      </c>
      <c r="V98" s="21">
        <f t="shared" si="14"/>
        <v>0.60375000000000001</v>
      </c>
      <c r="W98" s="21">
        <f t="shared" si="24"/>
        <v>1.20875</v>
      </c>
      <c r="X98" s="21">
        <f t="shared" si="27"/>
        <v>1.0878749999999999</v>
      </c>
      <c r="Y98" s="20">
        <f t="shared" si="16"/>
        <v>2.6037499999999998</v>
      </c>
      <c r="Z98" s="20">
        <f t="shared" si="25"/>
        <v>3.2087499999999998</v>
      </c>
      <c r="AA98" s="20">
        <f t="shared" si="28"/>
        <v>2.8878749999999997</v>
      </c>
    </row>
    <row r="99" spans="9:27" x14ac:dyDescent="0.3">
      <c r="I99" s="32">
        <v>2070</v>
      </c>
      <c r="J99" s="32" t="s">
        <v>56</v>
      </c>
      <c r="K99" s="33" t="s">
        <v>129</v>
      </c>
      <c r="L99" s="22" t="s">
        <v>368</v>
      </c>
      <c r="M99" s="20">
        <v>3</v>
      </c>
      <c r="N99" s="20">
        <v>0.54</v>
      </c>
      <c r="O99" s="20">
        <f t="shared" si="18"/>
        <v>0.67500000000000004</v>
      </c>
      <c r="P99" s="20">
        <f t="shared" si="19"/>
        <v>0.25</v>
      </c>
      <c r="Q99" s="20">
        <f t="shared" si="20"/>
        <v>0.3125</v>
      </c>
      <c r="R99" s="20">
        <f t="shared" si="21"/>
        <v>0.25</v>
      </c>
      <c r="S99" s="20">
        <f t="shared" si="22"/>
        <v>0.3125</v>
      </c>
      <c r="T99" s="20">
        <f t="shared" si="23"/>
        <v>0.23</v>
      </c>
      <c r="U99" s="20">
        <f t="shared" si="26"/>
        <v>4.6749999999999998</v>
      </c>
      <c r="V99" s="21">
        <f t="shared" si="14"/>
        <v>0.33750000000000002</v>
      </c>
      <c r="W99" s="21">
        <f t="shared" si="24"/>
        <v>1.1924999999999999</v>
      </c>
      <c r="X99" s="21">
        <f t="shared" si="27"/>
        <v>1.0732499999999998</v>
      </c>
      <c r="Y99" s="20">
        <f t="shared" si="16"/>
        <v>2.3374999999999999</v>
      </c>
      <c r="Z99" s="20">
        <f t="shared" si="25"/>
        <v>3.1924999999999999</v>
      </c>
      <c r="AA99" s="20">
        <f t="shared" si="28"/>
        <v>2.8732500000000001</v>
      </c>
    </row>
    <row r="100" spans="9:27" x14ac:dyDescent="0.3">
      <c r="I100" s="30">
        <v>2071</v>
      </c>
      <c r="J100" s="30" t="s">
        <v>56</v>
      </c>
      <c r="K100" s="31" t="s">
        <v>130</v>
      </c>
      <c r="L100" s="19" t="s">
        <v>367</v>
      </c>
      <c r="M100" s="20">
        <v>1</v>
      </c>
      <c r="N100" s="20">
        <v>1.06</v>
      </c>
      <c r="O100" s="20">
        <f t="shared" si="18"/>
        <v>0.79500000000000004</v>
      </c>
      <c r="P100" s="20">
        <f t="shared" si="19"/>
        <v>0.25</v>
      </c>
      <c r="Q100" s="20">
        <f t="shared" si="20"/>
        <v>0.1875</v>
      </c>
      <c r="R100" s="20">
        <f t="shared" si="21"/>
        <v>0.25</v>
      </c>
      <c r="S100" s="20">
        <f t="shared" si="22"/>
        <v>0.1875</v>
      </c>
      <c r="T100" s="20">
        <f t="shared" si="23"/>
        <v>0.23</v>
      </c>
      <c r="U100" s="20">
        <f t="shared" si="26"/>
        <v>4.7949999999999999</v>
      </c>
      <c r="V100" s="21">
        <f t="shared" si="14"/>
        <v>0.39750000000000002</v>
      </c>
      <c r="W100" s="21">
        <f t="shared" si="24"/>
        <v>1.0024999999999999</v>
      </c>
      <c r="X100" s="21">
        <f t="shared" si="27"/>
        <v>0.90225</v>
      </c>
      <c r="Y100" s="20">
        <f t="shared" si="16"/>
        <v>2.3975</v>
      </c>
      <c r="Z100" s="20">
        <f t="shared" si="25"/>
        <v>3.0024999999999999</v>
      </c>
      <c r="AA100" s="20">
        <f t="shared" si="28"/>
        <v>2.7022500000000003</v>
      </c>
    </row>
    <row r="101" spans="9:27" x14ac:dyDescent="0.3">
      <c r="I101" s="32">
        <v>2072</v>
      </c>
      <c r="J101" s="32" t="s">
        <v>56</v>
      </c>
      <c r="K101" s="33" t="s">
        <v>131</v>
      </c>
      <c r="L101" s="22" t="s">
        <v>368</v>
      </c>
      <c r="M101" s="20">
        <v>3</v>
      </c>
      <c r="N101" s="20">
        <v>1</v>
      </c>
      <c r="O101" s="20">
        <f t="shared" si="18"/>
        <v>1.25</v>
      </c>
      <c r="P101" s="20">
        <f t="shared" si="19"/>
        <v>0.25</v>
      </c>
      <c r="Q101" s="20">
        <f t="shared" si="20"/>
        <v>0.3125</v>
      </c>
      <c r="R101" s="20">
        <f t="shared" si="21"/>
        <v>0.25</v>
      </c>
      <c r="S101" s="20">
        <f t="shared" si="22"/>
        <v>0.3125</v>
      </c>
      <c r="T101" s="20">
        <f t="shared" si="23"/>
        <v>0.23</v>
      </c>
      <c r="U101" s="20">
        <f t="shared" si="26"/>
        <v>5.25</v>
      </c>
      <c r="V101" s="21">
        <f t="shared" si="14"/>
        <v>0.625</v>
      </c>
      <c r="W101" s="21">
        <f t="shared" si="24"/>
        <v>1.48</v>
      </c>
      <c r="X101" s="21">
        <f t="shared" si="27"/>
        <v>1.3319999999999999</v>
      </c>
      <c r="Y101" s="20">
        <f t="shared" si="16"/>
        <v>2.625</v>
      </c>
      <c r="Z101" s="20">
        <f t="shared" si="25"/>
        <v>3.48</v>
      </c>
      <c r="AA101" s="20">
        <f t="shared" si="28"/>
        <v>3.1319999999999997</v>
      </c>
    </row>
    <row r="102" spans="9:27" x14ac:dyDescent="0.3">
      <c r="I102" s="32">
        <v>2074</v>
      </c>
      <c r="J102" s="32" t="s">
        <v>56</v>
      </c>
      <c r="K102" s="33" t="s">
        <v>132</v>
      </c>
      <c r="L102" s="22" t="s">
        <v>369</v>
      </c>
      <c r="M102" s="20">
        <v>4</v>
      </c>
      <c r="N102" s="20">
        <v>1.01</v>
      </c>
      <c r="O102" s="20">
        <f t="shared" si="18"/>
        <v>2.6260000000000003</v>
      </c>
      <c r="P102" s="20">
        <f t="shared" si="19"/>
        <v>0.25</v>
      </c>
      <c r="Q102" s="20">
        <f t="shared" si="20"/>
        <v>0.65</v>
      </c>
      <c r="R102" s="20">
        <f t="shared" si="21"/>
        <v>0.25</v>
      </c>
      <c r="S102" s="20">
        <f t="shared" si="22"/>
        <v>0.65</v>
      </c>
      <c r="T102" s="20">
        <f t="shared" si="23"/>
        <v>0.23</v>
      </c>
      <c r="U102" s="20">
        <f t="shared" si="26"/>
        <v>6.6260000000000003</v>
      </c>
      <c r="V102" s="21">
        <f t="shared" ref="V102:V165" si="29">IF($D$17="Y",O102+($C$29*O102/100),O102)</f>
        <v>1.3130000000000002</v>
      </c>
      <c r="W102" s="21">
        <f t="shared" si="24"/>
        <v>2.843</v>
      </c>
      <c r="X102" s="21">
        <f t="shared" si="27"/>
        <v>2.5587</v>
      </c>
      <c r="Y102" s="20">
        <f t="shared" ref="Y102:Y165" si="30">IF($D$17="Y",U102+($C$29*U102/100),U102)</f>
        <v>3.3130000000000002</v>
      </c>
      <c r="Z102" s="20">
        <f t="shared" si="25"/>
        <v>4.8430000000000009</v>
      </c>
      <c r="AA102" s="20">
        <f t="shared" si="28"/>
        <v>4.3587000000000007</v>
      </c>
    </row>
    <row r="103" spans="9:27" x14ac:dyDescent="0.3">
      <c r="I103" s="30">
        <v>2221</v>
      </c>
      <c r="J103" s="30" t="s">
        <v>56</v>
      </c>
      <c r="K103" s="31" t="s">
        <v>133</v>
      </c>
      <c r="L103" s="19" t="s">
        <v>367</v>
      </c>
      <c r="M103" s="20">
        <v>1</v>
      </c>
      <c r="N103" s="20">
        <v>0.66</v>
      </c>
      <c r="O103" s="20">
        <f t="shared" si="18"/>
        <v>0.495</v>
      </c>
      <c r="P103" s="20">
        <f t="shared" si="19"/>
        <v>0.25</v>
      </c>
      <c r="Q103" s="20">
        <f t="shared" si="20"/>
        <v>0.1875</v>
      </c>
      <c r="R103" s="20">
        <f t="shared" si="21"/>
        <v>0.25</v>
      </c>
      <c r="S103" s="20">
        <f t="shared" si="22"/>
        <v>0.1875</v>
      </c>
      <c r="T103" s="20">
        <f t="shared" si="23"/>
        <v>0.23</v>
      </c>
      <c r="U103" s="20">
        <f t="shared" si="26"/>
        <v>4.4950000000000001</v>
      </c>
      <c r="V103" s="21">
        <f t="shared" si="29"/>
        <v>0.2475</v>
      </c>
      <c r="W103" s="21">
        <f t="shared" si="24"/>
        <v>0.85250000000000004</v>
      </c>
      <c r="X103" s="21">
        <f t="shared" si="27"/>
        <v>0.7672500000000001</v>
      </c>
      <c r="Y103" s="20">
        <f t="shared" si="30"/>
        <v>2.2475000000000001</v>
      </c>
      <c r="Z103" s="20">
        <f t="shared" si="25"/>
        <v>2.8525</v>
      </c>
      <c r="AA103" s="20">
        <f t="shared" si="28"/>
        <v>2.56725</v>
      </c>
    </row>
    <row r="104" spans="9:27" x14ac:dyDescent="0.3">
      <c r="I104" s="30">
        <v>2210</v>
      </c>
      <c r="J104" s="30" t="s">
        <v>56</v>
      </c>
      <c r="K104" s="31" t="s">
        <v>134</v>
      </c>
      <c r="L104" s="19" t="s">
        <v>367</v>
      </c>
      <c r="M104" s="20">
        <v>1</v>
      </c>
      <c r="N104" s="20">
        <v>0.62</v>
      </c>
      <c r="O104" s="20">
        <f t="shared" si="18"/>
        <v>0.46499999999999997</v>
      </c>
      <c r="P104" s="20">
        <f t="shared" si="19"/>
        <v>0.25</v>
      </c>
      <c r="Q104" s="20">
        <f t="shared" si="20"/>
        <v>0.1875</v>
      </c>
      <c r="R104" s="20">
        <f t="shared" si="21"/>
        <v>0.25</v>
      </c>
      <c r="S104" s="20">
        <f t="shared" si="22"/>
        <v>0.1875</v>
      </c>
      <c r="T104" s="20">
        <f t="shared" si="23"/>
        <v>0.23</v>
      </c>
      <c r="U104" s="20">
        <f t="shared" si="26"/>
        <v>4.4649999999999999</v>
      </c>
      <c r="V104" s="21">
        <f t="shared" si="29"/>
        <v>0.23249999999999996</v>
      </c>
      <c r="W104" s="21">
        <f t="shared" si="24"/>
        <v>0.83749999999999991</v>
      </c>
      <c r="X104" s="21">
        <f t="shared" si="27"/>
        <v>0.75374999999999981</v>
      </c>
      <c r="Y104" s="20">
        <f t="shared" si="30"/>
        <v>2.2324999999999999</v>
      </c>
      <c r="Z104" s="20">
        <f t="shared" si="25"/>
        <v>2.8374999999999999</v>
      </c>
      <c r="AA104" s="20">
        <f t="shared" si="28"/>
        <v>2.55375</v>
      </c>
    </row>
    <row r="105" spans="9:27" x14ac:dyDescent="0.3">
      <c r="I105" s="30">
        <v>2218</v>
      </c>
      <c r="J105" s="30" t="s">
        <v>56</v>
      </c>
      <c r="K105" s="31" t="s">
        <v>135</v>
      </c>
      <c r="L105" s="19" t="s">
        <v>367</v>
      </c>
      <c r="M105" s="20">
        <v>1</v>
      </c>
      <c r="N105" s="20">
        <v>0.62</v>
      </c>
      <c r="O105" s="20">
        <f t="shared" si="18"/>
        <v>0.46499999999999997</v>
      </c>
      <c r="P105" s="20">
        <f t="shared" si="19"/>
        <v>0.25</v>
      </c>
      <c r="Q105" s="20">
        <f t="shared" si="20"/>
        <v>0.1875</v>
      </c>
      <c r="R105" s="20">
        <f t="shared" si="21"/>
        <v>0.25</v>
      </c>
      <c r="S105" s="20">
        <f t="shared" si="22"/>
        <v>0.1875</v>
      </c>
      <c r="T105" s="20">
        <f t="shared" si="23"/>
        <v>0.23</v>
      </c>
      <c r="U105" s="20">
        <f t="shared" si="26"/>
        <v>4.4649999999999999</v>
      </c>
      <c r="V105" s="21">
        <f t="shared" si="29"/>
        <v>0.23249999999999996</v>
      </c>
      <c r="W105" s="21">
        <f t="shared" si="24"/>
        <v>0.83749999999999991</v>
      </c>
      <c r="X105" s="21">
        <f t="shared" si="27"/>
        <v>0.75374999999999981</v>
      </c>
      <c r="Y105" s="20">
        <f t="shared" si="30"/>
        <v>2.2324999999999999</v>
      </c>
      <c r="Z105" s="20">
        <f t="shared" si="25"/>
        <v>2.8374999999999999</v>
      </c>
      <c r="AA105" s="20">
        <f t="shared" si="28"/>
        <v>2.55375</v>
      </c>
    </row>
    <row r="106" spans="9:27" x14ac:dyDescent="0.3">
      <c r="I106" s="30">
        <v>2217</v>
      </c>
      <c r="J106" s="30" t="s">
        <v>56</v>
      </c>
      <c r="K106" s="31" t="s">
        <v>136</v>
      </c>
      <c r="L106" s="19" t="s">
        <v>367</v>
      </c>
      <c r="M106" s="20">
        <v>1</v>
      </c>
      <c r="N106" s="20">
        <v>0.39</v>
      </c>
      <c r="O106" s="20">
        <f t="shared" si="18"/>
        <v>0.29249999999999998</v>
      </c>
      <c r="P106" s="20">
        <f t="shared" si="19"/>
        <v>0.25</v>
      </c>
      <c r="Q106" s="20">
        <f t="shared" si="20"/>
        <v>0.1875</v>
      </c>
      <c r="R106" s="20">
        <f t="shared" si="21"/>
        <v>0.25</v>
      </c>
      <c r="S106" s="20">
        <f t="shared" si="22"/>
        <v>0.1875</v>
      </c>
      <c r="T106" s="20">
        <f t="shared" si="23"/>
        <v>0.23</v>
      </c>
      <c r="U106" s="20">
        <f t="shared" si="26"/>
        <v>4.2925000000000004</v>
      </c>
      <c r="V106" s="21">
        <f t="shared" si="29"/>
        <v>0.14624999999999999</v>
      </c>
      <c r="W106" s="21">
        <f t="shared" si="24"/>
        <v>0.75124999999999997</v>
      </c>
      <c r="X106" s="21">
        <f t="shared" si="27"/>
        <v>0.67612499999999998</v>
      </c>
      <c r="Y106" s="20">
        <f t="shared" si="30"/>
        <v>2.1462500000000002</v>
      </c>
      <c r="Z106" s="20">
        <f t="shared" si="25"/>
        <v>2.7512500000000002</v>
      </c>
      <c r="AA106" s="20">
        <f t="shared" si="28"/>
        <v>2.4761250000000001</v>
      </c>
    </row>
    <row r="107" spans="9:27" x14ac:dyDescent="0.3">
      <c r="I107" s="30">
        <v>2219</v>
      </c>
      <c r="J107" s="30" t="s">
        <v>56</v>
      </c>
      <c r="K107" s="31" t="s">
        <v>137</v>
      </c>
      <c r="L107" s="19" t="s">
        <v>367</v>
      </c>
      <c r="M107" s="20">
        <v>1</v>
      </c>
      <c r="N107" s="20">
        <v>0.72</v>
      </c>
      <c r="O107" s="20">
        <f t="shared" si="18"/>
        <v>0.54</v>
      </c>
      <c r="P107" s="20">
        <f t="shared" si="19"/>
        <v>0.25</v>
      </c>
      <c r="Q107" s="20">
        <f t="shared" si="20"/>
        <v>0.1875</v>
      </c>
      <c r="R107" s="20">
        <f t="shared" si="21"/>
        <v>0.25</v>
      </c>
      <c r="S107" s="20">
        <f t="shared" si="22"/>
        <v>0.1875</v>
      </c>
      <c r="T107" s="20">
        <f t="shared" si="23"/>
        <v>0.23</v>
      </c>
      <c r="U107" s="20">
        <f t="shared" si="26"/>
        <v>4.54</v>
      </c>
      <c r="V107" s="21">
        <f t="shared" si="29"/>
        <v>0.27</v>
      </c>
      <c r="W107" s="21">
        <f t="shared" si="24"/>
        <v>0.875</v>
      </c>
      <c r="X107" s="21">
        <f t="shared" si="27"/>
        <v>0.78749999999999998</v>
      </c>
      <c r="Y107" s="20">
        <f t="shared" si="30"/>
        <v>2.27</v>
      </c>
      <c r="Z107" s="20">
        <f t="shared" si="25"/>
        <v>2.875</v>
      </c>
      <c r="AA107" s="20">
        <f t="shared" si="28"/>
        <v>2.5874999999999999</v>
      </c>
    </row>
    <row r="108" spans="9:27" x14ac:dyDescent="0.3">
      <c r="I108" s="30">
        <v>2073</v>
      </c>
      <c r="J108" s="30" t="s">
        <v>56</v>
      </c>
      <c r="K108" s="31" t="s">
        <v>138</v>
      </c>
      <c r="L108" s="19" t="s">
        <v>367</v>
      </c>
      <c r="M108" s="20">
        <v>1</v>
      </c>
      <c r="N108" s="20">
        <v>0.19</v>
      </c>
      <c r="O108" s="20">
        <f t="shared" si="18"/>
        <v>0.14250000000000002</v>
      </c>
      <c r="P108" s="20">
        <f t="shared" si="19"/>
        <v>0.25</v>
      </c>
      <c r="Q108" s="20">
        <f t="shared" si="20"/>
        <v>0.1875</v>
      </c>
      <c r="R108" s="20">
        <f t="shared" si="21"/>
        <v>0.25</v>
      </c>
      <c r="S108" s="20">
        <f t="shared" si="22"/>
        <v>0.1875</v>
      </c>
      <c r="T108" s="20">
        <f t="shared" si="23"/>
        <v>0.23</v>
      </c>
      <c r="U108" s="20">
        <f t="shared" si="26"/>
        <v>4.1425000000000001</v>
      </c>
      <c r="V108" s="21">
        <f t="shared" si="29"/>
        <v>7.1250000000000008E-2</v>
      </c>
      <c r="W108" s="21">
        <f t="shared" si="24"/>
        <v>0.67625000000000002</v>
      </c>
      <c r="X108" s="21">
        <f t="shared" si="27"/>
        <v>0.60862500000000008</v>
      </c>
      <c r="Y108" s="20">
        <f t="shared" si="30"/>
        <v>2.07125</v>
      </c>
      <c r="Z108" s="20">
        <f t="shared" si="25"/>
        <v>2.67625</v>
      </c>
      <c r="AA108" s="20">
        <f t="shared" si="28"/>
        <v>2.4086250000000002</v>
      </c>
    </row>
    <row r="109" spans="9:27" ht="28.8" x14ac:dyDescent="0.3">
      <c r="I109" s="32">
        <v>2075</v>
      </c>
      <c r="J109" s="32" t="s">
        <v>56</v>
      </c>
      <c r="K109" s="33" t="s">
        <v>139</v>
      </c>
      <c r="L109" s="22" t="s">
        <v>370</v>
      </c>
      <c r="M109" s="20">
        <v>2</v>
      </c>
      <c r="N109" s="20">
        <v>0.38</v>
      </c>
      <c r="O109" s="20">
        <f t="shared" si="18"/>
        <v>0.34199999999999997</v>
      </c>
      <c r="P109" s="20">
        <f t="shared" si="19"/>
        <v>0.25</v>
      </c>
      <c r="Q109" s="20">
        <f t="shared" si="20"/>
        <v>0.22500000000000001</v>
      </c>
      <c r="R109" s="20">
        <f t="shared" si="21"/>
        <v>0.25</v>
      </c>
      <c r="S109" s="20">
        <f t="shared" si="22"/>
        <v>0.22500000000000001</v>
      </c>
      <c r="T109" s="20">
        <f t="shared" si="23"/>
        <v>0.23</v>
      </c>
      <c r="U109" s="20">
        <f t="shared" si="26"/>
        <v>4.3419999999999996</v>
      </c>
      <c r="V109" s="21">
        <f t="shared" si="29"/>
        <v>0.17099999999999999</v>
      </c>
      <c r="W109" s="21">
        <f t="shared" si="24"/>
        <v>0.85099999999999998</v>
      </c>
      <c r="X109" s="21">
        <f t="shared" si="27"/>
        <v>0.76590000000000003</v>
      </c>
      <c r="Y109" s="20">
        <f t="shared" si="30"/>
        <v>2.1709999999999998</v>
      </c>
      <c r="Z109" s="20">
        <f t="shared" si="25"/>
        <v>2.851</v>
      </c>
      <c r="AA109" s="20">
        <f t="shared" si="28"/>
        <v>2.5658999999999996</v>
      </c>
    </row>
    <row r="110" spans="9:27" x14ac:dyDescent="0.3">
      <c r="I110" s="30">
        <v>2076</v>
      </c>
      <c r="J110" s="30" t="s">
        <v>56</v>
      </c>
      <c r="K110" s="31" t="s">
        <v>140</v>
      </c>
      <c r="L110" s="19" t="s">
        <v>367</v>
      </c>
      <c r="M110" s="20">
        <v>1</v>
      </c>
      <c r="N110" s="20">
        <v>0.65</v>
      </c>
      <c r="O110" s="20">
        <f t="shared" si="18"/>
        <v>0.48750000000000004</v>
      </c>
      <c r="P110" s="20">
        <f t="shared" si="19"/>
        <v>0.25</v>
      </c>
      <c r="Q110" s="20">
        <f t="shared" si="20"/>
        <v>0.1875</v>
      </c>
      <c r="R110" s="20">
        <f t="shared" si="21"/>
        <v>0.25</v>
      </c>
      <c r="S110" s="20">
        <f t="shared" si="22"/>
        <v>0.1875</v>
      </c>
      <c r="T110" s="20">
        <f t="shared" si="23"/>
        <v>0.23</v>
      </c>
      <c r="U110" s="20">
        <f t="shared" si="26"/>
        <v>4.4874999999999998</v>
      </c>
      <c r="V110" s="21">
        <f t="shared" si="29"/>
        <v>0.24375000000000002</v>
      </c>
      <c r="W110" s="21">
        <f t="shared" si="24"/>
        <v>0.84875</v>
      </c>
      <c r="X110" s="21">
        <f t="shared" si="27"/>
        <v>0.76387500000000008</v>
      </c>
      <c r="Y110" s="20">
        <f t="shared" si="30"/>
        <v>2.2437499999999999</v>
      </c>
      <c r="Z110" s="20">
        <f t="shared" si="25"/>
        <v>2.8487499999999999</v>
      </c>
      <c r="AA110" s="20">
        <f t="shared" si="28"/>
        <v>2.5638749999999999</v>
      </c>
    </row>
    <row r="111" spans="9:27" x14ac:dyDescent="0.3">
      <c r="I111" s="30">
        <v>2227</v>
      </c>
      <c r="J111" s="30" t="s">
        <v>56</v>
      </c>
      <c r="K111" s="31" t="s">
        <v>141</v>
      </c>
      <c r="L111" s="19" t="s">
        <v>367</v>
      </c>
      <c r="M111" s="20">
        <v>1</v>
      </c>
      <c r="N111" s="20">
        <v>1.63</v>
      </c>
      <c r="O111" s="20">
        <f t="shared" si="18"/>
        <v>1.2224999999999999</v>
      </c>
      <c r="P111" s="20">
        <f t="shared" si="19"/>
        <v>0.25</v>
      </c>
      <c r="Q111" s="20">
        <f t="shared" si="20"/>
        <v>0.1875</v>
      </c>
      <c r="R111" s="20">
        <f t="shared" si="21"/>
        <v>0.25</v>
      </c>
      <c r="S111" s="20">
        <f t="shared" si="22"/>
        <v>0.1875</v>
      </c>
      <c r="T111" s="20">
        <f t="shared" si="23"/>
        <v>0.23</v>
      </c>
      <c r="U111" s="20">
        <f t="shared" si="26"/>
        <v>5.2225000000000001</v>
      </c>
      <c r="V111" s="21">
        <f t="shared" si="29"/>
        <v>0.61124999999999996</v>
      </c>
      <c r="W111" s="21">
        <f t="shared" si="24"/>
        <v>1.2162500000000001</v>
      </c>
      <c r="X111" s="21">
        <f t="shared" si="27"/>
        <v>1.094625</v>
      </c>
      <c r="Y111" s="20">
        <f t="shared" si="30"/>
        <v>2.6112500000000001</v>
      </c>
      <c r="Z111" s="20">
        <f t="shared" si="25"/>
        <v>3.2162500000000001</v>
      </c>
      <c r="AA111" s="20">
        <f t="shared" si="28"/>
        <v>2.8946249999999996</v>
      </c>
    </row>
    <row r="112" spans="9:27" x14ac:dyDescent="0.3">
      <c r="I112" s="30">
        <v>2222</v>
      </c>
      <c r="J112" s="30" t="s">
        <v>56</v>
      </c>
      <c r="K112" s="31" t="s">
        <v>142</v>
      </c>
      <c r="L112" s="19" t="s">
        <v>367</v>
      </c>
      <c r="M112" s="20">
        <v>1</v>
      </c>
      <c r="N112" s="20">
        <v>0.44</v>
      </c>
      <c r="O112" s="20">
        <f t="shared" si="18"/>
        <v>0.33</v>
      </c>
      <c r="P112" s="20">
        <f t="shared" si="19"/>
        <v>0.25</v>
      </c>
      <c r="Q112" s="20">
        <f t="shared" si="20"/>
        <v>0.1875</v>
      </c>
      <c r="R112" s="20">
        <f t="shared" si="21"/>
        <v>0.25</v>
      </c>
      <c r="S112" s="20">
        <f t="shared" si="22"/>
        <v>0.1875</v>
      </c>
      <c r="T112" s="20">
        <f t="shared" si="23"/>
        <v>0.23</v>
      </c>
      <c r="U112" s="20">
        <f t="shared" si="26"/>
        <v>4.33</v>
      </c>
      <c r="V112" s="21">
        <f t="shared" si="29"/>
        <v>0.16500000000000001</v>
      </c>
      <c r="W112" s="21">
        <f t="shared" si="24"/>
        <v>0.77</v>
      </c>
      <c r="X112" s="21">
        <f t="shared" si="27"/>
        <v>0.69299999999999995</v>
      </c>
      <c r="Y112" s="20">
        <f t="shared" si="30"/>
        <v>2.165</v>
      </c>
      <c r="Z112" s="20">
        <f t="shared" si="25"/>
        <v>2.77</v>
      </c>
      <c r="AA112" s="20">
        <f t="shared" si="28"/>
        <v>2.4930000000000003</v>
      </c>
    </row>
    <row r="113" spans="9:27" ht="28.8" x14ac:dyDescent="0.3">
      <c r="I113" s="32">
        <v>2224</v>
      </c>
      <c r="J113" s="32" t="s">
        <v>56</v>
      </c>
      <c r="K113" s="33" t="s">
        <v>143</v>
      </c>
      <c r="L113" s="22" t="s">
        <v>369</v>
      </c>
      <c r="M113" s="20">
        <v>4</v>
      </c>
      <c r="N113" s="20">
        <v>0.44</v>
      </c>
      <c r="O113" s="20">
        <f t="shared" si="18"/>
        <v>1.1440000000000001</v>
      </c>
      <c r="P113" s="20">
        <f t="shared" si="19"/>
        <v>0.25</v>
      </c>
      <c r="Q113" s="20">
        <f t="shared" si="20"/>
        <v>0.65</v>
      </c>
      <c r="R113" s="20">
        <f t="shared" si="21"/>
        <v>0.25</v>
      </c>
      <c r="S113" s="20">
        <f t="shared" si="22"/>
        <v>0.65</v>
      </c>
      <c r="T113" s="20">
        <f t="shared" si="23"/>
        <v>0.23</v>
      </c>
      <c r="U113" s="20">
        <f t="shared" si="26"/>
        <v>5.1440000000000001</v>
      </c>
      <c r="V113" s="21">
        <f t="shared" si="29"/>
        <v>0.57200000000000006</v>
      </c>
      <c r="W113" s="21">
        <f t="shared" si="24"/>
        <v>2.1019999999999999</v>
      </c>
      <c r="X113" s="21">
        <f t="shared" si="27"/>
        <v>1.8917999999999997</v>
      </c>
      <c r="Y113" s="20">
        <f t="shared" si="30"/>
        <v>2.5720000000000001</v>
      </c>
      <c r="Z113" s="20">
        <f t="shared" si="25"/>
        <v>4.1020000000000003</v>
      </c>
      <c r="AA113" s="20">
        <f t="shared" si="28"/>
        <v>3.6918000000000002</v>
      </c>
    </row>
    <row r="114" spans="9:27" ht="28.8" x14ac:dyDescent="0.3">
      <c r="I114" s="30">
        <v>2225</v>
      </c>
      <c r="J114" s="30" t="s">
        <v>56</v>
      </c>
      <c r="K114" s="31" t="s">
        <v>144</v>
      </c>
      <c r="L114" s="19" t="s">
        <v>367</v>
      </c>
      <c r="M114" s="20">
        <v>1</v>
      </c>
      <c r="N114" s="20">
        <v>0.79</v>
      </c>
      <c r="O114" s="20">
        <f t="shared" si="18"/>
        <v>0.59250000000000003</v>
      </c>
      <c r="P114" s="20">
        <f t="shared" si="19"/>
        <v>0.25</v>
      </c>
      <c r="Q114" s="20">
        <f t="shared" si="20"/>
        <v>0.1875</v>
      </c>
      <c r="R114" s="20">
        <f t="shared" si="21"/>
        <v>0.25</v>
      </c>
      <c r="S114" s="20">
        <f t="shared" si="22"/>
        <v>0.1875</v>
      </c>
      <c r="T114" s="20">
        <f t="shared" si="23"/>
        <v>0.23</v>
      </c>
      <c r="U114" s="20">
        <f t="shared" si="26"/>
        <v>4.5925000000000002</v>
      </c>
      <c r="V114" s="21">
        <f t="shared" si="29"/>
        <v>0.29625000000000001</v>
      </c>
      <c r="W114" s="21">
        <f t="shared" si="24"/>
        <v>0.90125</v>
      </c>
      <c r="X114" s="21">
        <f t="shared" si="27"/>
        <v>0.81112499999999998</v>
      </c>
      <c r="Y114" s="20">
        <f t="shared" si="30"/>
        <v>2.2962500000000001</v>
      </c>
      <c r="Z114" s="20">
        <f t="shared" si="25"/>
        <v>2.9012500000000001</v>
      </c>
      <c r="AA114" s="20">
        <f t="shared" si="28"/>
        <v>2.6111249999999999</v>
      </c>
    </row>
    <row r="115" spans="9:27" x14ac:dyDescent="0.3">
      <c r="I115" s="30">
        <v>2077</v>
      </c>
      <c r="J115" s="30" t="s">
        <v>56</v>
      </c>
      <c r="K115" s="31" t="s">
        <v>145</v>
      </c>
      <c r="L115" s="19" t="s">
        <v>367</v>
      </c>
      <c r="M115" s="20">
        <v>1</v>
      </c>
      <c r="N115" s="20">
        <v>2.58</v>
      </c>
      <c r="O115" s="20">
        <f t="shared" si="18"/>
        <v>1.9350000000000001</v>
      </c>
      <c r="P115" s="20">
        <f t="shared" si="19"/>
        <v>0.25</v>
      </c>
      <c r="Q115" s="20">
        <f t="shared" si="20"/>
        <v>0.1875</v>
      </c>
      <c r="R115" s="20">
        <f t="shared" si="21"/>
        <v>0.25</v>
      </c>
      <c r="S115" s="20">
        <f t="shared" si="22"/>
        <v>0.1875</v>
      </c>
      <c r="T115" s="20">
        <f t="shared" si="23"/>
        <v>0.23</v>
      </c>
      <c r="U115" s="20">
        <f t="shared" si="26"/>
        <v>5.9350000000000005</v>
      </c>
      <c r="V115" s="21">
        <f t="shared" si="29"/>
        <v>0.96750000000000003</v>
      </c>
      <c r="W115" s="21">
        <f t="shared" si="24"/>
        <v>1.5725</v>
      </c>
      <c r="X115" s="21">
        <f t="shared" si="27"/>
        <v>1.4152500000000001</v>
      </c>
      <c r="Y115" s="20">
        <f t="shared" si="30"/>
        <v>2.9675000000000007</v>
      </c>
      <c r="Z115" s="20">
        <f t="shared" si="25"/>
        <v>3.5725000000000007</v>
      </c>
      <c r="AA115" s="20">
        <f t="shared" si="28"/>
        <v>3.2152500000000002</v>
      </c>
    </row>
    <row r="116" spans="9:27" x14ac:dyDescent="0.3">
      <c r="I116" s="30">
        <v>2078</v>
      </c>
      <c r="J116" s="30" t="s">
        <v>56</v>
      </c>
      <c r="K116" s="31" t="s">
        <v>146</v>
      </c>
      <c r="L116" s="19" t="s">
        <v>367</v>
      </c>
      <c r="M116" s="20">
        <v>1</v>
      </c>
      <c r="N116" s="20">
        <v>2.0699999999999998</v>
      </c>
      <c r="O116" s="20">
        <f t="shared" si="18"/>
        <v>1.5524999999999998</v>
      </c>
      <c r="P116" s="20">
        <f t="shared" si="19"/>
        <v>0.25</v>
      </c>
      <c r="Q116" s="20">
        <f t="shared" si="20"/>
        <v>0.1875</v>
      </c>
      <c r="R116" s="20">
        <f t="shared" si="21"/>
        <v>0.25</v>
      </c>
      <c r="S116" s="20">
        <f t="shared" si="22"/>
        <v>0.1875</v>
      </c>
      <c r="T116" s="20">
        <f t="shared" si="23"/>
        <v>0.23</v>
      </c>
      <c r="U116" s="20">
        <f t="shared" si="26"/>
        <v>5.5525000000000002</v>
      </c>
      <c r="V116" s="21">
        <f t="shared" si="29"/>
        <v>0.77624999999999988</v>
      </c>
      <c r="W116" s="21">
        <f t="shared" si="24"/>
        <v>1.3812499999999999</v>
      </c>
      <c r="X116" s="21">
        <f t="shared" si="27"/>
        <v>1.2431249999999998</v>
      </c>
      <c r="Y116" s="20">
        <f t="shared" si="30"/>
        <v>2.7762500000000001</v>
      </c>
      <c r="Z116" s="20">
        <f t="shared" si="25"/>
        <v>3.3812500000000001</v>
      </c>
      <c r="AA116" s="20">
        <f t="shared" si="28"/>
        <v>3.0431249999999999</v>
      </c>
    </row>
    <row r="117" spans="9:27" ht="28.8" x14ac:dyDescent="0.3">
      <c r="I117" s="30">
        <v>2079</v>
      </c>
      <c r="J117" s="30" t="s">
        <v>56</v>
      </c>
      <c r="K117" s="31" t="s">
        <v>147</v>
      </c>
      <c r="L117" s="19" t="s">
        <v>367</v>
      </c>
      <c r="M117" s="20">
        <v>1</v>
      </c>
      <c r="N117" s="20">
        <v>1.36</v>
      </c>
      <c r="O117" s="20">
        <f t="shared" si="18"/>
        <v>1.02</v>
      </c>
      <c r="P117" s="20">
        <f t="shared" si="19"/>
        <v>0.25</v>
      </c>
      <c r="Q117" s="20">
        <f t="shared" si="20"/>
        <v>0.1875</v>
      </c>
      <c r="R117" s="20">
        <f t="shared" si="21"/>
        <v>0.25</v>
      </c>
      <c r="S117" s="20">
        <f t="shared" si="22"/>
        <v>0.1875</v>
      </c>
      <c r="T117" s="20">
        <f t="shared" si="23"/>
        <v>0.23</v>
      </c>
      <c r="U117" s="20">
        <f t="shared" si="26"/>
        <v>5.0199999999999996</v>
      </c>
      <c r="V117" s="21">
        <f t="shared" si="29"/>
        <v>0.51</v>
      </c>
      <c r="W117" s="21">
        <f t="shared" si="24"/>
        <v>1.115</v>
      </c>
      <c r="X117" s="21">
        <f t="shared" si="27"/>
        <v>1.0034999999999998</v>
      </c>
      <c r="Y117" s="20">
        <f t="shared" si="30"/>
        <v>2.5099999999999998</v>
      </c>
      <c r="Z117" s="20">
        <f t="shared" si="25"/>
        <v>3.1149999999999998</v>
      </c>
      <c r="AA117" s="20">
        <f t="shared" si="28"/>
        <v>2.8034999999999997</v>
      </c>
    </row>
    <row r="118" spans="9:27" x14ac:dyDescent="0.3">
      <c r="I118" s="30">
        <v>2080</v>
      </c>
      <c r="J118" s="30" t="s">
        <v>56</v>
      </c>
      <c r="K118" s="31" t="s">
        <v>148</v>
      </c>
      <c r="L118" s="19" t="s">
        <v>367</v>
      </c>
      <c r="M118" s="20">
        <v>1</v>
      </c>
      <c r="N118" s="20">
        <v>2.39</v>
      </c>
      <c r="O118" s="20">
        <f t="shared" si="18"/>
        <v>1.7925</v>
      </c>
      <c r="P118" s="20">
        <f t="shared" si="19"/>
        <v>0.25</v>
      </c>
      <c r="Q118" s="20">
        <f t="shared" si="20"/>
        <v>0.1875</v>
      </c>
      <c r="R118" s="20">
        <f t="shared" si="21"/>
        <v>0.25</v>
      </c>
      <c r="S118" s="20">
        <f t="shared" si="22"/>
        <v>0.1875</v>
      </c>
      <c r="T118" s="20">
        <f t="shared" si="23"/>
        <v>0.23</v>
      </c>
      <c r="U118" s="20">
        <f t="shared" si="26"/>
        <v>5.7925000000000004</v>
      </c>
      <c r="V118" s="21">
        <f t="shared" si="29"/>
        <v>0.89624999999999999</v>
      </c>
      <c r="W118" s="21">
        <f t="shared" si="24"/>
        <v>1.50125</v>
      </c>
      <c r="X118" s="21">
        <f t="shared" si="27"/>
        <v>1.3511250000000001</v>
      </c>
      <c r="Y118" s="20">
        <f t="shared" si="30"/>
        <v>2.8962500000000002</v>
      </c>
      <c r="Z118" s="20">
        <f t="shared" si="25"/>
        <v>3.5012500000000002</v>
      </c>
      <c r="AA118" s="20">
        <f t="shared" si="28"/>
        <v>3.151125</v>
      </c>
    </row>
    <row r="119" spans="9:27" x14ac:dyDescent="0.3">
      <c r="I119" s="30">
        <v>2081</v>
      </c>
      <c r="J119" s="30" t="s">
        <v>56</v>
      </c>
      <c r="K119" s="31" t="s">
        <v>149</v>
      </c>
      <c r="L119" s="19" t="s">
        <v>367</v>
      </c>
      <c r="M119" s="20">
        <v>1</v>
      </c>
      <c r="N119" s="20">
        <v>2.4</v>
      </c>
      <c r="O119" s="20">
        <f t="shared" si="18"/>
        <v>1.7999999999999998</v>
      </c>
      <c r="P119" s="20">
        <f t="shared" si="19"/>
        <v>0.25</v>
      </c>
      <c r="Q119" s="20">
        <f t="shared" si="20"/>
        <v>0.1875</v>
      </c>
      <c r="R119" s="20">
        <f t="shared" si="21"/>
        <v>0.25</v>
      </c>
      <c r="S119" s="20">
        <f t="shared" si="22"/>
        <v>0.1875</v>
      </c>
      <c r="T119" s="20">
        <f t="shared" si="23"/>
        <v>0.23</v>
      </c>
      <c r="U119" s="20">
        <f t="shared" si="26"/>
        <v>5.8</v>
      </c>
      <c r="V119" s="21">
        <f t="shared" si="29"/>
        <v>0.89999999999999991</v>
      </c>
      <c r="W119" s="21">
        <f t="shared" si="24"/>
        <v>1.5049999999999999</v>
      </c>
      <c r="X119" s="21">
        <f t="shared" si="27"/>
        <v>1.3544999999999998</v>
      </c>
      <c r="Y119" s="20">
        <f t="shared" si="30"/>
        <v>2.9</v>
      </c>
      <c r="Z119" s="20">
        <f t="shared" si="25"/>
        <v>3.5049999999999999</v>
      </c>
      <c r="AA119" s="20">
        <f t="shared" si="28"/>
        <v>3.1545000000000001</v>
      </c>
    </row>
    <row r="120" spans="9:27" x14ac:dyDescent="0.3">
      <c r="I120" s="30">
        <v>2082</v>
      </c>
      <c r="J120" s="30" t="s">
        <v>56</v>
      </c>
      <c r="K120" s="31" t="s">
        <v>150</v>
      </c>
      <c r="L120" s="19" t="s">
        <v>367</v>
      </c>
      <c r="M120" s="20">
        <v>1</v>
      </c>
      <c r="N120" s="20">
        <v>1.1499999999999999</v>
      </c>
      <c r="O120" s="20">
        <f t="shared" si="18"/>
        <v>0.86249999999999993</v>
      </c>
      <c r="P120" s="20">
        <f t="shared" si="19"/>
        <v>0.25</v>
      </c>
      <c r="Q120" s="20">
        <f t="shared" si="20"/>
        <v>0.1875</v>
      </c>
      <c r="R120" s="20">
        <f t="shared" si="21"/>
        <v>0.25</v>
      </c>
      <c r="S120" s="20">
        <f t="shared" si="22"/>
        <v>0.1875</v>
      </c>
      <c r="T120" s="20">
        <f t="shared" si="23"/>
        <v>0.23</v>
      </c>
      <c r="U120" s="20">
        <f t="shared" si="26"/>
        <v>4.8624999999999998</v>
      </c>
      <c r="V120" s="21">
        <f t="shared" si="29"/>
        <v>0.43124999999999991</v>
      </c>
      <c r="W120" s="21">
        <f t="shared" si="24"/>
        <v>1.0362499999999999</v>
      </c>
      <c r="X120" s="21">
        <f t="shared" si="27"/>
        <v>0.93262499999999993</v>
      </c>
      <c r="Y120" s="20">
        <f t="shared" si="30"/>
        <v>2.4312499999999999</v>
      </c>
      <c r="Z120" s="20">
        <f t="shared" si="25"/>
        <v>3.0362499999999999</v>
      </c>
      <c r="AA120" s="20">
        <f t="shared" si="28"/>
        <v>2.7326250000000001</v>
      </c>
    </row>
    <row r="121" spans="9:27" x14ac:dyDescent="0.3">
      <c r="I121" s="32">
        <v>2083</v>
      </c>
      <c r="J121" s="32" t="s">
        <v>56</v>
      </c>
      <c r="K121" s="33" t="s">
        <v>151</v>
      </c>
      <c r="L121" s="22" t="s">
        <v>370</v>
      </c>
      <c r="M121" s="20">
        <v>2</v>
      </c>
      <c r="N121" s="20">
        <v>1.33</v>
      </c>
      <c r="O121" s="20">
        <f t="shared" si="18"/>
        <v>1.1970000000000001</v>
      </c>
      <c r="P121" s="20">
        <f t="shared" si="19"/>
        <v>0.25</v>
      </c>
      <c r="Q121" s="20">
        <f t="shared" si="20"/>
        <v>0.22500000000000001</v>
      </c>
      <c r="R121" s="20">
        <f t="shared" si="21"/>
        <v>0.25</v>
      </c>
      <c r="S121" s="20">
        <f t="shared" si="22"/>
        <v>0.22500000000000001</v>
      </c>
      <c r="T121" s="20">
        <f t="shared" si="23"/>
        <v>0.23</v>
      </c>
      <c r="U121" s="20">
        <f t="shared" si="26"/>
        <v>5.1970000000000001</v>
      </c>
      <c r="V121" s="21">
        <f t="shared" si="29"/>
        <v>0.59850000000000003</v>
      </c>
      <c r="W121" s="21">
        <f t="shared" si="24"/>
        <v>1.2785000000000002</v>
      </c>
      <c r="X121" s="21">
        <f t="shared" si="27"/>
        <v>1.1506500000000002</v>
      </c>
      <c r="Y121" s="20">
        <f t="shared" si="30"/>
        <v>2.5985</v>
      </c>
      <c r="Z121" s="20">
        <f t="shared" si="25"/>
        <v>3.2785000000000002</v>
      </c>
      <c r="AA121" s="20">
        <f t="shared" si="28"/>
        <v>2.95065</v>
      </c>
    </row>
    <row r="122" spans="9:27" x14ac:dyDescent="0.3">
      <c r="I122" s="32">
        <v>2084</v>
      </c>
      <c r="J122" s="32" t="s">
        <v>56</v>
      </c>
      <c r="K122" s="33" t="s">
        <v>152</v>
      </c>
      <c r="L122" s="22" t="s">
        <v>368</v>
      </c>
      <c r="M122" s="20">
        <v>3</v>
      </c>
      <c r="N122" s="20">
        <v>3.2</v>
      </c>
      <c r="O122" s="20">
        <f t="shared" si="18"/>
        <v>4</v>
      </c>
      <c r="P122" s="20">
        <f t="shared" si="19"/>
        <v>0.25</v>
      </c>
      <c r="Q122" s="20">
        <f t="shared" si="20"/>
        <v>0.3125</v>
      </c>
      <c r="R122" s="20">
        <f t="shared" si="21"/>
        <v>0.25</v>
      </c>
      <c r="S122" s="20">
        <f t="shared" si="22"/>
        <v>0.3125</v>
      </c>
      <c r="T122" s="20">
        <f t="shared" si="23"/>
        <v>0.23</v>
      </c>
      <c r="U122" s="20">
        <f t="shared" si="26"/>
        <v>8</v>
      </c>
      <c r="V122" s="21">
        <f t="shared" si="29"/>
        <v>2</v>
      </c>
      <c r="W122" s="21">
        <f t="shared" si="24"/>
        <v>2.855</v>
      </c>
      <c r="X122" s="21">
        <f t="shared" si="27"/>
        <v>2.5694999999999997</v>
      </c>
      <c r="Y122" s="20">
        <f t="shared" si="30"/>
        <v>4</v>
      </c>
      <c r="Z122" s="20">
        <f t="shared" si="25"/>
        <v>4.8550000000000004</v>
      </c>
      <c r="AA122" s="20">
        <f t="shared" si="28"/>
        <v>4.3695000000000004</v>
      </c>
    </row>
    <row r="123" spans="9:27" x14ac:dyDescent="0.3">
      <c r="I123" s="32">
        <v>2085</v>
      </c>
      <c r="J123" s="32" t="s">
        <v>56</v>
      </c>
      <c r="K123" s="33" t="s">
        <v>153</v>
      </c>
      <c r="L123" s="22" t="s">
        <v>368</v>
      </c>
      <c r="M123" s="20">
        <v>3</v>
      </c>
      <c r="N123" s="20">
        <v>2.98</v>
      </c>
      <c r="O123" s="20">
        <f t="shared" si="18"/>
        <v>3.7250000000000001</v>
      </c>
      <c r="P123" s="20">
        <f t="shared" si="19"/>
        <v>0.25</v>
      </c>
      <c r="Q123" s="20">
        <f t="shared" si="20"/>
        <v>0.3125</v>
      </c>
      <c r="R123" s="20">
        <f t="shared" si="21"/>
        <v>0.25</v>
      </c>
      <c r="S123" s="20">
        <f t="shared" si="22"/>
        <v>0.3125</v>
      </c>
      <c r="T123" s="20">
        <f t="shared" si="23"/>
        <v>0.23</v>
      </c>
      <c r="U123" s="20">
        <f t="shared" si="26"/>
        <v>7.7249999999999996</v>
      </c>
      <c r="V123" s="21">
        <f t="shared" si="29"/>
        <v>1.8625</v>
      </c>
      <c r="W123" s="21">
        <f t="shared" si="24"/>
        <v>2.7175000000000002</v>
      </c>
      <c r="X123" s="21">
        <f t="shared" si="27"/>
        <v>2.4457500000000003</v>
      </c>
      <c r="Y123" s="20">
        <f t="shared" si="30"/>
        <v>3.8624999999999998</v>
      </c>
      <c r="Z123" s="20">
        <f t="shared" si="25"/>
        <v>4.7175000000000002</v>
      </c>
      <c r="AA123" s="20">
        <f t="shared" si="28"/>
        <v>4.2457500000000001</v>
      </c>
    </row>
    <row r="124" spans="9:27" x14ac:dyDescent="0.3">
      <c r="I124" s="30">
        <v>2086</v>
      </c>
      <c r="J124" s="30" t="s">
        <v>56</v>
      </c>
      <c r="K124" s="31" t="s">
        <v>154</v>
      </c>
      <c r="L124" s="19" t="s">
        <v>367</v>
      </c>
      <c r="M124" s="20">
        <v>1</v>
      </c>
      <c r="N124" s="20">
        <v>2.8</v>
      </c>
      <c r="O124" s="20">
        <f t="shared" si="18"/>
        <v>2.0999999999999996</v>
      </c>
      <c r="P124" s="20">
        <f t="shared" si="19"/>
        <v>0.25</v>
      </c>
      <c r="Q124" s="20">
        <f t="shared" si="20"/>
        <v>0.1875</v>
      </c>
      <c r="R124" s="20">
        <f t="shared" si="21"/>
        <v>0.25</v>
      </c>
      <c r="S124" s="20">
        <f t="shared" si="22"/>
        <v>0.1875</v>
      </c>
      <c r="T124" s="20">
        <f t="shared" si="23"/>
        <v>0.23</v>
      </c>
      <c r="U124" s="20">
        <f t="shared" si="26"/>
        <v>6.1</v>
      </c>
      <c r="V124" s="21">
        <f t="shared" si="29"/>
        <v>1.0499999999999998</v>
      </c>
      <c r="W124" s="21">
        <f t="shared" si="24"/>
        <v>1.6549999999999998</v>
      </c>
      <c r="X124" s="21">
        <f t="shared" si="27"/>
        <v>1.4894999999999998</v>
      </c>
      <c r="Y124" s="20">
        <f t="shared" si="30"/>
        <v>3.05</v>
      </c>
      <c r="Z124" s="20">
        <f t="shared" si="25"/>
        <v>3.6549999999999998</v>
      </c>
      <c r="AA124" s="20">
        <f t="shared" si="28"/>
        <v>3.2894999999999999</v>
      </c>
    </row>
    <row r="125" spans="9:27" x14ac:dyDescent="0.3">
      <c r="I125" s="30">
        <v>2087</v>
      </c>
      <c r="J125" s="30" t="s">
        <v>56</v>
      </c>
      <c r="K125" s="31" t="s">
        <v>155</v>
      </c>
      <c r="L125" s="19" t="s">
        <v>367</v>
      </c>
      <c r="M125" s="20">
        <v>1</v>
      </c>
      <c r="N125" s="20">
        <v>0.96</v>
      </c>
      <c r="O125" s="20">
        <f t="shared" si="18"/>
        <v>0.72</v>
      </c>
      <c r="P125" s="20">
        <f t="shared" si="19"/>
        <v>0.25</v>
      </c>
      <c r="Q125" s="20">
        <f t="shared" si="20"/>
        <v>0.1875</v>
      </c>
      <c r="R125" s="20">
        <f t="shared" si="21"/>
        <v>0.25</v>
      </c>
      <c r="S125" s="20">
        <f t="shared" si="22"/>
        <v>0.1875</v>
      </c>
      <c r="T125" s="20">
        <f t="shared" si="23"/>
        <v>0.23</v>
      </c>
      <c r="U125" s="20">
        <f t="shared" si="26"/>
        <v>4.72</v>
      </c>
      <c r="V125" s="21">
        <f t="shared" si="29"/>
        <v>0.36</v>
      </c>
      <c r="W125" s="21">
        <f t="shared" si="24"/>
        <v>0.96499999999999997</v>
      </c>
      <c r="X125" s="21">
        <f t="shared" si="27"/>
        <v>0.86849999999999994</v>
      </c>
      <c r="Y125" s="20">
        <f t="shared" si="30"/>
        <v>2.36</v>
      </c>
      <c r="Z125" s="20">
        <f t="shared" si="25"/>
        <v>2.9649999999999999</v>
      </c>
      <c r="AA125" s="20">
        <f t="shared" si="28"/>
        <v>2.6684999999999999</v>
      </c>
    </row>
    <row r="126" spans="9:27" x14ac:dyDescent="0.3">
      <c r="I126" s="30">
        <v>2088</v>
      </c>
      <c r="J126" s="30" t="s">
        <v>56</v>
      </c>
      <c r="K126" s="31" t="s">
        <v>156</v>
      </c>
      <c r="L126" s="19" t="s">
        <v>367</v>
      </c>
      <c r="M126" s="20">
        <v>1</v>
      </c>
      <c r="N126" s="20">
        <v>0.74</v>
      </c>
      <c r="O126" s="20">
        <f t="shared" si="18"/>
        <v>0.55499999999999994</v>
      </c>
      <c r="P126" s="20">
        <f t="shared" si="19"/>
        <v>0.25</v>
      </c>
      <c r="Q126" s="20">
        <f t="shared" si="20"/>
        <v>0.1875</v>
      </c>
      <c r="R126" s="20">
        <f t="shared" si="21"/>
        <v>0.25</v>
      </c>
      <c r="S126" s="20">
        <f t="shared" si="22"/>
        <v>0.1875</v>
      </c>
      <c r="T126" s="20">
        <f t="shared" si="23"/>
        <v>0.23</v>
      </c>
      <c r="U126" s="20">
        <f t="shared" si="26"/>
        <v>4.5549999999999997</v>
      </c>
      <c r="V126" s="21">
        <f t="shared" si="29"/>
        <v>0.27749999999999997</v>
      </c>
      <c r="W126" s="21">
        <f t="shared" si="24"/>
        <v>0.88249999999999995</v>
      </c>
      <c r="X126" s="21">
        <f t="shared" si="27"/>
        <v>0.79425000000000001</v>
      </c>
      <c r="Y126" s="20">
        <f t="shared" si="30"/>
        <v>2.2774999999999999</v>
      </c>
      <c r="Z126" s="20">
        <f t="shared" si="25"/>
        <v>2.8824999999999998</v>
      </c>
      <c r="AA126" s="20">
        <f t="shared" si="28"/>
        <v>2.5942500000000002</v>
      </c>
    </row>
    <row r="127" spans="9:27" x14ac:dyDescent="0.3">
      <c r="I127" s="32">
        <v>2089</v>
      </c>
      <c r="J127" s="32" t="s">
        <v>56</v>
      </c>
      <c r="K127" s="33" t="s">
        <v>157</v>
      </c>
      <c r="L127" s="22" t="s">
        <v>370</v>
      </c>
      <c r="M127" s="20">
        <v>2</v>
      </c>
      <c r="N127" s="20">
        <v>1.1200000000000001</v>
      </c>
      <c r="O127" s="20">
        <f t="shared" ref="O127:O190" si="31">IF(M127=1,(N127-(N127*0.25)),IF(M127=2,(N127-(N127*0.1)),IF(M127=3,(N127+(N127*0.25)),IF(M127=4,(N127+(N127*1.6)),0))))</f>
        <v>1.008</v>
      </c>
      <c r="P127" s="20">
        <f t="shared" ref="P127:P190" si="32">IF(J127="III",0.15,IF(J127="IV",0.25,IF(J127="V",0.25,IF(J127="VII",0.25,0))))</f>
        <v>0.25</v>
      </c>
      <c r="Q127" s="20">
        <f t="shared" ref="Q127:Q190" si="33">IF(M127=1,(P127-(P127*0.25)),IF(M127=2,(P127-(P127*0.1)),IF(M127=3,(P127+(P127*0.25)),IF(M127=4,(P127+(P127*1.6)),0))))</f>
        <v>0.22500000000000001</v>
      </c>
      <c r="R127" s="20">
        <f t="shared" ref="R127:R190" si="34">IF(J127="III",(IF($C$4="Zone 1",0.25,IF($C$4="Zone 2",0.15,(IF($C$4="Zone 3",0.1,0.05))))), (IF($C$4="Zone 1",0.5,IF($C$4="Zone 2",0.25,(IF($C$4="Zone 3",0.1,0.05))))))</f>
        <v>0.25</v>
      </c>
      <c r="S127" s="20">
        <f t="shared" ref="S127:S190" si="35">IF(M127=1,(R127-(R127*0.25)),IF(M127=2,(R127-(R127*0.1)),IF(M127=3,(R127+(R127*0.25)),IF(M127=4,(R127+(R127*1.6)),0))))</f>
        <v>0.22500000000000001</v>
      </c>
      <c r="T127" s="20">
        <f t="shared" ref="T127:T190" si="36">IF(J127="III",0.15,0.23)</f>
        <v>0.23</v>
      </c>
      <c r="U127" s="20">
        <f t="shared" si="26"/>
        <v>5.008</v>
      </c>
      <c r="V127" s="21">
        <f t="shared" si="29"/>
        <v>0.504</v>
      </c>
      <c r="W127" s="21">
        <f t="shared" ref="W127:W190" si="37">V127+T127+S127+Q127</f>
        <v>1.1839999999999999</v>
      </c>
      <c r="X127" s="21">
        <f t="shared" si="27"/>
        <v>1.0655999999999999</v>
      </c>
      <c r="Y127" s="20">
        <f t="shared" si="30"/>
        <v>2.504</v>
      </c>
      <c r="Z127" s="20">
        <f t="shared" ref="Z127:Z190" si="38">Y127+Q127+S127+T127</f>
        <v>3.1840000000000002</v>
      </c>
      <c r="AA127" s="20">
        <f t="shared" si="28"/>
        <v>2.8656000000000001</v>
      </c>
    </row>
    <row r="128" spans="9:27" x14ac:dyDescent="0.3">
      <c r="I128" s="30">
        <v>2090</v>
      </c>
      <c r="J128" s="30" t="s">
        <v>56</v>
      </c>
      <c r="K128" s="31" t="s">
        <v>158</v>
      </c>
      <c r="L128" s="19" t="s">
        <v>367</v>
      </c>
      <c r="M128" s="20">
        <v>1</v>
      </c>
      <c r="N128" s="20">
        <v>1.03</v>
      </c>
      <c r="O128" s="20">
        <f t="shared" si="31"/>
        <v>0.77249999999999996</v>
      </c>
      <c r="P128" s="20">
        <f t="shared" si="32"/>
        <v>0.25</v>
      </c>
      <c r="Q128" s="20">
        <f t="shared" si="33"/>
        <v>0.1875</v>
      </c>
      <c r="R128" s="20">
        <f t="shared" si="34"/>
        <v>0.25</v>
      </c>
      <c r="S128" s="20">
        <f t="shared" si="35"/>
        <v>0.1875</v>
      </c>
      <c r="T128" s="20">
        <f t="shared" si="36"/>
        <v>0.23</v>
      </c>
      <c r="U128" s="20">
        <f t="shared" ref="U128:U191" si="39">O128+4</f>
        <v>4.7725</v>
      </c>
      <c r="V128" s="21">
        <f t="shared" si="29"/>
        <v>0.38624999999999998</v>
      </c>
      <c r="W128" s="21">
        <f t="shared" si="37"/>
        <v>0.99124999999999996</v>
      </c>
      <c r="X128" s="21">
        <f t="shared" ref="X128:X191" si="40">IF($C$30&gt;0,W128*(100-$C$30)/100,W128)</f>
        <v>0.89212499999999995</v>
      </c>
      <c r="Y128" s="20">
        <f t="shared" si="30"/>
        <v>2.38625</v>
      </c>
      <c r="Z128" s="20">
        <f t="shared" si="38"/>
        <v>2.99125</v>
      </c>
      <c r="AA128" s="20">
        <f t="shared" ref="AA128:AA191" si="41">IF($C$30&gt;0,Z128*(100-$C$30)/100,Z128)</f>
        <v>2.6921249999999999</v>
      </c>
    </row>
    <row r="129" spans="9:27" x14ac:dyDescent="0.3">
      <c r="I129" s="30">
        <v>2091</v>
      </c>
      <c r="J129" s="30" t="s">
        <v>56</v>
      </c>
      <c r="K129" s="31" t="s">
        <v>159</v>
      </c>
      <c r="L129" s="19" t="s">
        <v>367</v>
      </c>
      <c r="M129" s="20">
        <v>1</v>
      </c>
      <c r="N129" s="20">
        <v>0.92</v>
      </c>
      <c r="O129" s="20">
        <f t="shared" si="31"/>
        <v>0.69000000000000006</v>
      </c>
      <c r="P129" s="20">
        <f t="shared" si="32"/>
        <v>0.25</v>
      </c>
      <c r="Q129" s="20">
        <f t="shared" si="33"/>
        <v>0.1875</v>
      </c>
      <c r="R129" s="20">
        <f t="shared" si="34"/>
        <v>0.25</v>
      </c>
      <c r="S129" s="20">
        <f t="shared" si="35"/>
        <v>0.1875</v>
      </c>
      <c r="T129" s="20">
        <f t="shared" si="36"/>
        <v>0.23</v>
      </c>
      <c r="U129" s="20">
        <f t="shared" si="39"/>
        <v>4.6900000000000004</v>
      </c>
      <c r="V129" s="21">
        <f t="shared" si="29"/>
        <v>0.34500000000000008</v>
      </c>
      <c r="W129" s="21">
        <f t="shared" si="37"/>
        <v>0.95000000000000007</v>
      </c>
      <c r="X129" s="21">
        <f t="shared" si="40"/>
        <v>0.85499999999999998</v>
      </c>
      <c r="Y129" s="20">
        <f t="shared" si="30"/>
        <v>2.3450000000000002</v>
      </c>
      <c r="Z129" s="20">
        <f t="shared" si="38"/>
        <v>2.95</v>
      </c>
      <c r="AA129" s="20">
        <f t="shared" si="41"/>
        <v>2.6549999999999998</v>
      </c>
    </row>
    <row r="130" spans="9:27" x14ac:dyDescent="0.3">
      <c r="I130" s="32">
        <v>2092</v>
      </c>
      <c r="J130" s="32" t="s">
        <v>56</v>
      </c>
      <c r="K130" s="33" t="s">
        <v>160</v>
      </c>
      <c r="L130" s="22" t="s">
        <v>369</v>
      </c>
      <c r="M130" s="20">
        <v>4</v>
      </c>
      <c r="N130" s="20">
        <v>1.43</v>
      </c>
      <c r="O130" s="20">
        <f t="shared" si="31"/>
        <v>3.718</v>
      </c>
      <c r="P130" s="20">
        <f t="shared" si="32"/>
        <v>0.25</v>
      </c>
      <c r="Q130" s="20">
        <f t="shared" si="33"/>
        <v>0.65</v>
      </c>
      <c r="R130" s="20">
        <f t="shared" si="34"/>
        <v>0.25</v>
      </c>
      <c r="S130" s="20">
        <f t="shared" si="35"/>
        <v>0.65</v>
      </c>
      <c r="T130" s="20">
        <f t="shared" si="36"/>
        <v>0.23</v>
      </c>
      <c r="U130" s="20">
        <f t="shared" si="39"/>
        <v>7.718</v>
      </c>
      <c r="V130" s="21">
        <f t="shared" si="29"/>
        <v>1.859</v>
      </c>
      <c r="W130" s="21">
        <f t="shared" si="37"/>
        <v>3.3889999999999998</v>
      </c>
      <c r="X130" s="21">
        <f t="shared" si="40"/>
        <v>3.0501</v>
      </c>
      <c r="Y130" s="20">
        <f t="shared" si="30"/>
        <v>3.859</v>
      </c>
      <c r="Z130" s="20">
        <f t="shared" si="38"/>
        <v>5.3890000000000011</v>
      </c>
      <c r="AA130" s="20">
        <f t="shared" si="41"/>
        <v>4.8501000000000012</v>
      </c>
    </row>
    <row r="131" spans="9:27" x14ac:dyDescent="0.3">
      <c r="I131" s="30">
        <v>2093</v>
      </c>
      <c r="J131" s="30" t="s">
        <v>56</v>
      </c>
      <c r="K131" s="31" t="s">
        <v>161</v>
      </c>
      <c r="L131" s="19" t="s">
        <v>367</v>
      </c>
      <c r="M131" s="20">
        <v>1</v>
      </c>
      <c r="N131" s="20">
        <v>1.1000000000000001</v>
      </c>
      <c r="O131" s="20">
        <f t="shared" si="31"/>
        <v>0.82500000000000007</v>
      </c>
      <c r="P131" s="20">
        <f t="shared" si="32"/>
        <v>0.25</v>
      </c>
      <c r="Q131" s="20">
        <f t="shared" si="33"/>
        <v>0.1875</v>
      </c>
      <c r="R131" s="20">
        <f t="shared" si="34"/>
        <v>0.25</v>
      </c>
      <c r="S131" s="20">
        <f t="shared" si="35"/>
        <v>0.1875</v>
      </c>
      <c r="T131" s="20">
        <f t="shared" si="36"/>
        <v>0.23</v>
      </c>
      <c r="U131" s="20">
        <f t="shared" si="39"/>
        <v>4.8250000000000002</v>
      </c>
      <c r="V131" s="21">
        <f t="shared" si="29"/>
        <v>0.41250000000000009</v>
      </c>
      <c r="W131" s="21">
        <f t="shared" si="37"/>
        <v>1.0175000000000001</v>
      </c>
      <c r="X131" s="21">
        <f t="shared" si="40"/>
        <v>0.91575000000000006</v>
      </c>
      <c r="Y131" s="20">
        <f t="shared" si="30"/>
        <v>2.4125000000000001</v>
      </c>
      <c r="Z131" s="20">
        <f t="shared" si="38"/>
        <v>3.0175000000000001</v>
      </c>
      <c r="AA131" s="20">
        <f t="shared" si="41"/>
        <v>2.7157499999999999</v>
      </c>
    </row>
    <row r="132" spans="9:27" x14ac:dyDescent="0.3">
      <c r="I132" s="30">
        <v>2094</v>
      </c>
      <c r="J132" s="30" t="s">
        <v>56</v>
      </c>
      <c r="K132" s="31" t="s">
        <v>162</v>
      </c>
      <c r="L132" s="19" t="s">
        <v>367</v>
      </c>
      <c r="M132" s="20">
        <v>1</v>
      </c>
      <c r="N132" s="20">
        <v>0.74</v>
      </c>
      <c r="O132" s="20">
        <f t="shared" si="31"/>
        <v>0.55499999999999994</v>
      </c>
      <c r="P132" s="20">
        <f t="shared" si="32"/>
        <v>0.25</v>
      </c>
      <c r="Q132" s="20">
        <f t="shared" si="33"/>
        <v>0.1875</v>
      </c>
      <c r="R132" s="20">
        <f t="shared" si="34"/>
        <v>0.25</v>
      </c>
      <c r="S132" s="20">
        <f t="shared" si="35"/>
        <v>0.1875</v>
      </c>
      <c r="T132" s="20">
        <f t="shared" si="36"/>
        <v>0.23</v>
      </c>
      <c r="U132" s="20">
        <f t="shared" si="39"/>
        <v>4.5549999999999997</v>
      </c>
      <c r="V132" s="21">
        <f t="shared" si="29"/>
        <v>0.27749999999999997</v>
      </c>
      <c r="W132" s="21">
        <f t="shared" si="37"/>
        <v>0.88249999999999995</v>
      </c>
      <c r="X132" s="21">
        <f t="shared" si="40"/>
        <v>0.79425000000000001</v>
      </c>
      <c r="Y132" s="20">
        <f t="shared" si="30"/>
        <v>2.2774999999999999</v>
      </c>
      <c r="Z132" s="20">
        <f t="shared" si="38"/>
        <v>2.8824999999999998</v>
      </c>
      <c r="AA132" s="20">
        <f t="shared" si="41"/>
        <v>2.5942500000000002</v>
      </c>
    </row>
    <row r="133" spans="9:27" ht="28.8" x14ac:dyDescent="0.3">
      <c r="I133" s="30">
        <v>2098</v>
      </c>
      <c r="J133" s="30" t="s">
        <v>56</v>
      </c>
      <c r="K133" s="31" t="s">
        <v>163</v>
      </c>
      <c r="L133" s="19" t="s">
        <v>367</v>
      </c>
      <c r="M133" s="20">
        <v>1</v>
      </c>
      <c r="N133" s="20">
        <v>1.04</v>
      </c>
      <c r="O133" s="20">
        <f t="shared" si="31"/>
        <v>0.78</v>
      </c>
      <c r="P133" s="20">
        <f t="shared" si="32"/>
        <v>0.25</v>
      </c>
      <c r="Q133" s="20">
        <f t="shared" si="33"/>
        <v>0.1875</v>
      </c>
      <c r="R133" s="20">
        <f t="shared" si="34"/>
        <v>0.25</v>
      </c>
      <c r="S133" s="20">
        <f t="shared" si="35"/>
        <v>0.1875</v>
      </c>
      <c r="T133" s="20">
        <f t="shared" si="36"/>
        <v>0.23</v>
      </c>
      <c r="U133" s="20">
        <f t="shared" si="39"/>
        <v>4.78</v>
      </c>
      <c r="V133" s="21">
        <f t="shared" si="29"/>
        <v>0.39</v>
      </c>
      <c r="W133" s="21">
        <f t="shared" si="37"/>
        <v>0.995</v>
      </c>
      <c r="X133" s="21">
        <f t="shared" si="40"/>
        <v>0.89549999999999996</v>
      </c>
      <c r="Y133" s="20">
        <f t="shared" si="30"/>
        <v>2.39</v>
      </c>
      <c r="Z133" s="20">
        <f t="shared" si="38"/>
        <v>2.9950000000000001</v>
      </c>
      <c r="AA133" s="20">
        <f t="shared" si="41"/>
        <v>2.6955</v>
      </c>
    </row>
    <row r="134" spans="9:27" x14ac:dyDescent="0.3">
      <c r="I134" s="30">
        <v>2096</v>
      </c>
      <c r="J134" s="30" t="s">
        <v>56</v>
      </c>
      <c r="K134" s="31" t="s">
        <v>164</v>
      </c>
      <c r="L134" s="19" t="s">
        <v>367</v>
      </c>
      <c r="M134" s="20">
        <v>1</v>
      </c>
      <c r="N134" s="20">
        <v>0.28000000000000003</v>
      </c>
      <c r="O134" s="20">
        <f t="shared" si="31"/>
        <v>0.21000000000000002</v>
      </c>
      <c r="P134" s="20">
        <f t="shared" si="32"/>
        <v>0.25</v>
      </c>
      <c r="Q134" s="20">
        <f t="shared" si="33"/>
        <v>0.1875</v>
      </c>
      <c r="R134" s="20">
        <f t="shared" si="34"/>
        <v>0.25</v>
      </c>
      <c r="S134" s="20">
        <f t="shared" si="35"/>
        <v>0.1875</v>
      </c>
      <c r="T134" s="20">
        <f t="shared" si="36"/>
        <v>0.23</v>
      </c>
      <c r="U134" s="20">
        <f t="shared" si="39"/>
        <v>4.21</v>
      </c>
      <c r="V134" s="21">
        <f t="shared" si="29"/>
        <v>0.105</v>
      </c>
      <c r="W134" s="21">
        <f t="shared" si="37"/>
        <v>0.71</v>
      </c>
      <c r="X134" s="21">
        <f t="shared" si="40"/>
        <v>0.63900000000000001</v>
      </c>
      <c r="Y134" s="20">
        <f t="shared" si="30"/>
        <v>2.105</v>
      </c>
      <c r="Z134" s="20">
        <f t="shared" si="38"/>
        <v>2.71</v>
      </c>
      <c r="AA134" s="20">
        <f t="shared" si="41"/>
        <v>2.4390000000000001</v>
      </c>
    </row>
    <row r="135" spans="9:27" x14ac:dyDescent="0.3">
      <c r="I135" s="30">
        <v>2095</v>
      </c>
      <c r="J135" s="30" t="s">
        <v>56</v>
      </c>
      <c r="K135" s="31" t="s">
        <v>165</v>
      </c>
      <c r="L135" s="19" t="s">
        <v>367</v>
      </c>
      <c r="M135" s="20">
        <v>1</v>
      </c>
      <c r="N135" s="20">
        <v>0.66</v>
      </c>
      <c r="O135" s="20">
        <f t="shared" si="31"/>
        <v>0.495</v>
      </c>
      <c r="P135" s="20">
        <f t="shared" si="32"/>
        <v>0.25</v>
      </c>
      <c r="Q135" s="20">
        <f t="shared" si="33"/>
        <v>0.1875</v>
      </c>
      <c r="R135" s="20">
        <f t="shared" si="34"/>
        <v>0.25</v>
      </c>
      <c r="S135" s="20">
        <f t="shared" si="35"/>
        <v>0.1875</v>
      </c>
      <c r="T135" s="20">
        <f t="shared" si="36"/>
        <v>0.23</v>
      </c>
      <c r="U135" s="20">
        <f t="shared" si="39"/>
        <v>4.4950000000000001</v>
      </c>
      <c r="V135" s="21">
        <f t="shared" si="29"/>
        <v>0.2475</v>
      </c>
      <c r="W135" s="21">
        <f t="shared" si="37"/>
        <v>0.85250000000000004</v>
      </c>
      <c r="X135" s="21">
        <f t="shared" si="40"/>
        <v>0.7672500000000001</v>
      </c>
      <c r="Y135" s="20">
        <f t="shared" si="30"/>
        <v>2.2475000000000001</v>
      </c>
      <c r="Z135" s="20">
        <f t="shared" si="38"/>
        <v>2.8525</v>
      </c>
      <c r="AA135" s="20">
        <f t="shared" si="41"/>
        <v>2.56725</v>
      </c>
    </row>
    <row r="136" spans="9:27" x14ac:dyDescent="0.3">
      <c r="I136" s="30">
        <v>2097</v>
      </c>
      <c r="J136" s="30" t="s">
        <v>56</v>
      </c>
      <c r="K136" s="31" t="s">
        <v>166</v>
      </c>
      <c r="L136" s="19" t="s">
        <v>367</v>
      </c>
      <c r="M136" s="20">
        <v>1</v>
      </c>
      <c r="N136" s="20">
        <v>1.1299999999999999</v>
      </c>
      <c r="O136" s="20">
        <f t="shared" si="31"/>
        <v>0.84749999999999992</v>
      </c>
      <c r="P136" s="20">
        <f t="shared" si="32"/>
        <v>0.25</v>
      </c>
      <c r="Q136" s="20">
        <f t="shared" si="33"/>
        <v>0.1875</v>
      </c>
      <c r="R136" s="20">
        <f t="shared" si="34"/>
        <v>0.25</v>
      </c>
      <c r="S136" s="20">
        <f t="shared" si="35"/>
        <v>0.1875</v>
      </c>
      <c r="T136" s="20">
        <f t="shared" si="36"/>
        <v>0.23</v>
      </c>
      <c r="U136" s="20">
        <f t="shared" si="39"/>
        <v>4.8475000000000001</v>
      </c>
      <c r="V136" s="21">
        <f t="shared" si="29"/>
        <v>0.42375000000000002</v>
      </c>
      <c r="W136" s="21">
        <f t="shared" si="37"/>
        <v>1.0287500000000001</v>
      </c>
      <c r="X136" s="21">
        <f t="shared" si="40"/>
        <v>0.925875</v>
      </c>
      <c r="Y136" s="20">
        <f t="shared" si="30"/>
        <v>2.4237500000000001</v>
      </c>
      <c r="Z136" s="20">
        <f t="shared" si="38"/>
        <v>3.0287500000000001</v>
      </c>
      <c r="AA136" s="20">
        <f t="shared" si="41"/>
        <v>2.7258749999999998</v>
      </c>
    </row>
    <row r="137" spans="9:27" x14ac:dyDescent="0.3">
      <c r="I137" s="30">
        <v>2099</v>
      </c>
      <c r="J137" s="30" t="s">
        <v>56</v>
      </c>
      <c r="K137" s="31" t="s">
        <v>167</v>
      </c>
      <c r="L137" s="19" t="s">
        <v>367</v>
      </c>
      <c r="M137" s="20">
        <v>1</v>
      </c>
      <c r="N137" s="20">
        <v>1.72</v>
      </c>
      <c r="O137" s="20">
        <f t="shared" si="31"/>
        <v>1.29</v>
      </c>
      <c r="P137" s="20">
        <f t="shared" si="32"/>
        <v>0.25</v>
      </c>
      <c r="Q137" s="20">
        <f t="shared" si="33"/>
        <v>0.1875</v>
      </c>
      <c r="R137" s="20">
        <f t="shared" si="34"/>
        <v>0.25</v>
      </c>
      <c r="S137" s="20">
        <f t="shared" si="35"/>
        <v>0.1875</v>
      </c>
      <c r="T137" s="20">
        <f t="shared" si="36"/>
        <v>0.23</v>
      </c>
      <c r="U137" s="20">
        <f t="shared" si="39"/>
        <v>5.29</v>
      </c>
      <c r="V137" s="21">
        <f t="shared" si="29"/>
        <v>0.64500000000000002</v>
      </c>
      <c r="W137" s="21">
        <f t="shared" si="37"/>
        <v>1.25</v>
      </c>
      <c r="X137" s="21">
        <f t="shared" si="40"/>
        <v>1.125</v>
      </c>
      <c r="Y137" s="20">
        <f t="shared" si="30"/>
        <v>2.645</v>
      </c>
      <c r="Z137" s="20">
        <f t="shared" si="38"/>
        <v>3.25</v>
      </c>
      <c r="AA137" s="20">
        <f t="shared" si="41"/>
        <v>2.9249999999999998</v>
      </c>
    </row>
    <row r="138" spans="9:27" x14ac:dyDescent="0.3">
      <c r="I138" s="30">
        <v>2100</v>
      </c>
      <c r="J138" s="30" t="s">
        <v>56</v>
      </c>
      <c r="K138" s="31" t="s">
        <v>168</v>
      </c>
      <c r="L138" s="19" t="s">
        <v>367</v>
      </c>
      <c r="M138" s="20">
        <v>1</v>
      </c>
      <c r="N138" s="20">
        <v>1.1100000000000001</v>
      </c>
      <c r="O138" s="20">
        <f t="shared" si="31"/>
        <v>0.83250000000000002</v>
      </c>
      <c r="P138" s="20">
        <f t="shared" si="32"/>
        <v>0.25</v>
      </c>
      <c r="Q138" s="20">
        <f t="shared" si="33"/>
        <v>0.1875</v>
      </c>
      <c r="R138" s="20">
        <f t="shared" si="34"/>
        <v>0.25</v>
      </c>
      <c r="S138" s="20">
        <f t="shared" si="35"/>
        <v>0.1875</v>
      </c>
      <c r="T138" s="20">
        <f t="shared" si="36"/>
        <v>0.23</v>
      </c>
      <c r="U138" s="20">
        <f t="shared" si="39"/>
        <v>4.8324999999999996</v>
      </c>
      <c r="V138" s="21">
        <f t="shared" si="29"/>
        <v>0.41625000000000001</v>
      </c>
      <c r="W138" s="21">
        <f t="shared" si="37"/>
        <v>1.02125</v>
      </c>
      <c r="X138" s="21">
        <f t="shared" si="40"/>
        <v>0.91912499999999997</v>
      </c>
      <c r="Y138" s="20">
        <f t="shared" si="30"/>
        <v>2.4162499999999998</v>
      </c>
      <c r="Z138" s="20">
        <f t="shared" si="38"/>
        <v>3.0212499999999998</v>
      </c>
      <c r="AA138" s="20">
        <f t="shared" si="41"/>
        <v>2.7191249999999996</v>
      </c>
    </row>
    <row r="139" spans="9:27" x14ac:dyDescent="0.3">
      <c r="I139" s="30">
        <v>2101</v>
      </c>
      <c r="J139" s="30" t="s">
        <v>56</v>
      </c>
      <c r="K139" s="31" t="s">
        <v>169</v>
      </c>
      <c r="L139" s="19" t="s">
        <v>367</v>
      </c>
      <c r="M139" s="20">
        <v>1</v>
      </c>
      <c r="N139" s="20">
        <v>1.1299999999999999</v>
      </c>
      <c r="O139" s="20">
        <f t="shared" si="31"/>
        <v>0.84749999999999992</v>
      </c>
      <c r="P139" s="20">
        <f t="shared" si="32"/>
        <v>0.25</v>
      </c>
      <c r="Q139" s="20">
        <f t="shared" si="33"/>
        <v>0.1875</v>
      </c>
      <c r="R139" s="20">
        <f t="shared" si="34"/>
        <v>0.25</v>
      </c>
      <c r="S139" s="20">
        <f t="shared" si="35"/>
        <v>0.1875</v>
      </c>
      <c r="T139" s="20">
        <f t="shared" si="36"/>
        <v>0.23</v>
      </c>
      <c r="U139" s="20">
        <f t="shared" si="39"/>
        <v>4.8475000000000001</v>
      </c>
      <c r="V139" s="21">
        <f t="shared" si="29"/>
        <v>0.42375000000000002</v>
      </c>
      <c r="W139" s="21">
        <f t="shared" si="37"/>
        <v>1.0287500000000001</v>
      </c>
      <c r="X139" s="21">
        <f t="shared" si="40"/>
        <v>0.925875</v>
      </c>
      <c r="Y139" s="20">
        <f t="shared" si="30"/>
        <v>2.4237500000000001</v>
      </c>
      <c r="Z139" s="20">
        <f t="shared" si="38"/>
        <v>3.0287500000000001</v>
      </c>
      <c r="AA139" s="20">
        <f t="shared" si="41"/>
        <v>2.7258749999999998</v>
      </c>
    </row>
    <row r="140" spans="9:27" x14ac:dyDescent="0.3">
      <c r="I140" s="30">
        <v>2102</v>
      </c>
      <c r="J140" s="30" t="s">
        <v>56</v>
      </c>
      <c r="K140" s="31" t="s">
        <v>170</v>
      </c>
      <c r="L140" s="19" t="s">
        <v>367</v>
      </c>
      <c r="M140" s="20">
        <v>1</v>
      </c>
      <c r="N140" s="20">
        <v>0.84</v>
      </c>
      <c r="O140" s="20">
        <f t="shared" si="31"/>
        <v>0.63</v>
      </c>
      <c r="P140" s="20">
        <f t="shared" si="32"/>
        <v>0.25</v>
      </c>
      <c r="Q140" s="20">
        <f t="shared" si="33"/>
        <v>0.1875</v>
      </c>
      <c r="R140" s="20">
        <f t="shared" si="34"/>
        <v>0.25</v>
      </c>
      <c r="S140" s="20">
        <f t="shared" si="35"/>
        <v>0.1875</v>
      </c>
      <c r="T140" s="20">
        <f t="shared" si="36"/>
        <v>0.23</v>
      </c>
      <c r="U140" s="20">
        <f t="shared" si="39"/>
        <v>4.63</v>
      </c>
      <c r="V140" s="21">
        <f t="shared" si="29"/>
        <v>0.315</v>
      </c>
      <c r="W140" s="21">
        <f t="shared" si="37"/>
        <v>0.92</v>
      </c>
      <c r="X140" s="21">
        <f t="shared" si="40"/>
        <v>0.82799999999999996</v>
      </c>
      <c r="Y140" s="20">
        <f t="shared" si="30"/>
        <v>2.3149999999999999</v>
      </c>
      <c r="Z140" s="20">
        <f t="shared" si="38"/>
        <v>2.92</v>
      </c>
      <c r="AA140" s="20">
        <f t="shared" si="41"/>
        <v>2.6280000000000001</v>
      </c>
    </row>
    <row r="141" spans="9:27" x14ac:dyDescent="0.3">
      <c r="I141" s="32">
        <v>2103</v>
      </c>
      <c r="J141" s="32" t="s">
        <v>56</v>
      </c>
      <c r="K141" s="33" t="s">
        <v>171</v>
      </c>
      <c r="L141" s="22" t="s">
        <v>370</v>
      </c>
      <c r="M141" s="20">
        <v>2</v>
      </c>
      <c r="N141" s="20">
        <v>1.33</v>
      </c>
      <c r="O141" s="20">
        <f t="shared" si="31"/>
        <v>1.1970000000000001</v>
      </c>
      <c r="P141" s="20">
        <f t="shared" si="32"/>
        <v>0.25</v>
      </c>
      <c r="Q141" s="20">
        <f t="shared" si="33"/>
        <v>0.22500000000000001</v>
      </c>
      <c r="R141" s="20">
        <f t="shared" si="34"/>
        <v>0.25</v>
      </c>
      <c r="S141" s="20">
        <f t="shared" si="35"/>
        <v>0.22500000000000001</v>
      </c>
      <c r="T141" s="20">
        <f t="shared" si="36"/>
        <v>0.23</v>
      </c>
      <c r="U141" s="20">
        <f t="shared" si="39"/>
        <v>5.1970000000000001</v>
      </c>
      <c r="V141" s="21">
        <f t="shared" si="29"/>
        <v>0.59850000000000003</v>
      </c>
      <c r="W141" s="21">
        <f t="shared" si="37"/>
        <v>1.2785000000000002</v>
      </c>
      <c r="X141" s="21">
        <f t="shared" si="40"/>
        <v>1.1506500000000002</v>
      </c>
      <c r="Y141" s="20">
        <f t="shared" si="30"/>
        <v>2.5985</v>
      </c>
      <c r="Z141" s="20">
        <f t="shared" si="38"/>
        <v>3.2785000000000002</v>
      </c>
      <c r="AA141" s="20">
        <f t="shared" si="41"/>
        <v>2.95065</v>
      </c>
    </row>
    <row r="142" spans="9:27" x14ac:dyDescent="0.3">
      <c r="I142" s="32">
        <v>2104</v>
      </c>
      <c r="J142" s="32" t="s">
        <v>56</v>
      </c>
      <c r="K142" s="33" t="s">
        <v>172</v>
      </c>
      <c r="L142" s="22" t="s">
        <v>370</v>
      </c>
      <c r="M142" s="20">
        <v>2</v>
      </c>
      <c r="N142" s="20">
        <v>0.71</v>
      </c>
      <c r="O142" s="20">
        <f t="shared" si="31"/>
        <v>0.63900000000000001</v>
      </c>
      <c r="P142" s="20">
        <f t="shared" si="32"/>
        <v>0.25</v>
      </c>
      <c r="Q142" s="20">
        <f t="shared" si="33"/>
        <v>0.22500000000000001</v>
      </c>
      <c r="R142" s="20">
        <f t="shared" si="34"/>
        <v>0.25</v>
      </c>
      <c r="S142" s="20">
        <f t="shared" si="35"/>
        <v>0.22500000000000001</v>
      </c>
      <c r="T142" s="20">
        <f t="shared" si="36"/>
        <v>0.23</v>
      </c>
      <c r="U142" s="20">
        <f t="shared" si="39"/>
        <v>4.6390000000000002</v>
      </c>
      <c r="V142" s="21">
        <f t="shared" si="29"/>
        <v>0.31950000000000001</v>
      </c>
      <c r="W142" s="21">
        <f t="shared" si="37"/>
        <v>0.99949999999999994</v>
      </c>
      <c r="X142" s="21">
        <f t="shared" si="40"/>
        <v>0.89954999999999996</v>
      </c>
      <c r="Y142" s="20">
        <f t="shared" si="30"/>
        <v>2.3195000000000001</v>
      </c>
      <c r="Z142" s="20">
        <f t="shared" si="38"/>
        <v>2.9995000000000003</v>
      </c>
      <c r="AA142" s="20">
        <f t="shared" si="41"/>
        <v>2.6995500000000003</v>
      </c>
    </row>
    <row r="143" spans="9:27" x14ac:dyDescent="0.3">
      <c r="I143" s="32">
        <v>2105</v>
      </c>
      <c r="J143" s="32" t="s">
        <v>56</v>
      </c>
      <c r="K143" s="33" t="s">
        <v>173</v>
      </c>
      <c r="L143" s="22" t="s">
        <v>369</v>
      </c>
      <c r="M143" s="20">
        <v>4</v>
      </c>
      <c r="N143" s="20">
        <v>0.61</v>
      </c>
      <c r="O143" s="20">
        <f t="shared" si="31"/>
        <v>1.5859999999999999</v>
      </c>
      <c r="P143" s="20">
        <f t="shared" si="32"/>
        <v>0.25</v>
      </c>
      <c r="Q143" s="20">
        <f t="shared" si="33"/>
        <v>0.65</v>
      </c>
      <c r="R143" s="20">
        <f t="shared" si="34"/>
        <v>0.25</v>
      </c>
      <c r="S143" s="20">
        <f t="shared" si="35"/>
        <v>0.65</v>
      </c>
      <c r="T143" s="20">
        <f t="shared" si="36"/>
        <v>0.23</v>
      </c>
      <c r="U143" s="20">
        <f t="shared" si="39"/>
        <v>5.5860000000000003</v>
      </c>
      <c r="V143" s="21">
        <f t="shared" si="29"/>
        <v>0.79299999999999993</v>
      </c>
      <c r="W143" s="21">
        <f t="shared" si="37"/>
        <v>2.323</v>
      </c>
      <c r="X143" s="21">
        <f t="shared" si="40"/>
        <v>2.0907</v>
      </c>
      <c r="Y143" s="20">
        <f t="shared" si="30"/>
        <v>2.7930000000000001</v>
      </c>
      <c r="Z143" s="20">
        <f t="shared" si="38"/>
        <v>4.3230000000000004</v>
      </c>
      <c r="AA143" s="20">
        <f t="shared" si="41"/>
        <v>3.8907000000000007</v>
      </c>
    </row>
    <row r="144" spans="9:27" x14ac:dyDescent="0.3">
      <c r="I144" s="30">
        <v>2106</v>
      </c>
      <c r="J144" s="30" t="s">
        <v>56</v>
      </c>
      <c r="K144" s="31" t="s">
        <v>174</v>
      </c>
      <c r="L144" s="19" t="s">
        <v>367</v>
      </c>
      <c r="M144" s="20">
        <v>1</v>
      </c>
      <c r="N144" s="20">
        <v>1.42</v>
      </c>
      <c r="O144" s="20">
        <f t="shared" si="31"/>
        <v>1.0649999999999999</v>
      </c>
      <c r="P144" s="20">
        <f t="shared" si="32"/>
        <v>0.25</v>
      </c>
      <c r="Q144" s="20">
        <f t="shared" si="33"/>
        <v>0.1875</v>
      </c>
      <c r="R144" s="20">
        <f t="shared" si="34"/>
        <v>0.25</v>
      </c>
      <c r="S144" s="20">
        <f t="shared" si="35"/>
        <v>0.1875</v>
      </c>
      <c r="T144" s="20">
        <f t="shared" si="36"/>
        <v>0.23</v>
      </c>
      <c r="U144" s="20">
        <f t="shared" si="39"/>
        <v>5.0649999999999995</v>
      </c>
      <c r="V144" s="21">
        <f t="shared" si="29"/>
        <v>0.53249999999999997</v>
      </c>
      <c r="W144" s="21">
        <f t="shared" si="37"/>
        <v>1.1375</v>
      </c>
      <c r="X144" s="21">
        <f t="shared" si="40"/>
        <v>1.0237499999999999</v>
      </c>
      <c r="Y144" s="20">
        <f t="shared" si="30"/>
        <v>2.5324999999999998</v>
      </c>
      <c r="Z144" s="20">
        <f t="shared" si="38"/>
        <v>3.1374999999999997</v>
      </c>
      <c r="AA144" s="20">
        <f t="shared" si="41"/>
        <v>2.82375</v>
      </c>
    </row>
    <row r="145" spans="9:27" x14ac:dyDescent="0.3">
      <c r="I145" s="30">
        <v>2107</v>
      </c>
      <c r="J145" s="30" t="s">
        <v>56</v>
      </c>
      <c r="K145" s="31" t="s">
        <v>175</v>
      </c>
      <c r="L145" s="19" t="s">
        <v>367</v>
      </c>
      <c r="M145" s="20">
        <v>1</v>
      </c>
      <c r="N145" s="20">
        <v>0.59</v>
      </c>
      <c r="O145" s="20">
        <f t="shared" si="31"/>
        <v>0.4425</v>
      </c>
      <c r="P145" s="20">
        <f t="shared" si="32"/>
        <v>0.25</v>
      </c>
      <c r="Q145" s="20">
        <f t="shared" si="33"/>
        <v>0.1875</v>
      </c>
      <c r="R145" s="20">
        <f t="shared" si="34"/>
        <v>0.25</v>
      </c>
      <c r="S145" s="20">
        <f t="shared" si="35"/>
        <v>0.1875</v>
      </c>
      <c r="T145" s="20">
        <f t="shared" si="36"/>
        <v>0.23</v>
      </c>
      <c r="U145" s="20">
        <f t="shared" si="39"/>
        <v>4.4424999999999999</v>
      </c>
      <c r="V145" s="21">
        <f t="shared" si="29"/>
        <v>0.22125</v>
      </c>
      <c r="W145" s="21">
        <f t="shared" si="37"/>
        <v>0.82625000000000004</v>
      </c>
      <c r="X145" s="21">
        <f t="shared" si="40"/>
        <v>0.74362499999999998</v>
      </c>
      <c r="Y145" s="20">
        <f t="shared" si="30"/>
        <v>2.2212499999999999</v>
      </c>
      <c r="Z145" s="20">
        <f t="shared" si="38"/>
        <v>2.8262499999999999</v>
      </c>
      <c r="AA145" s="20">
        <f t="shared" si="41"/>
        <v>2.543625</v>
      </c>
    </row>
    <row r="146" spans="9:27" x14ac:dyDescent="0.3">
      <c r="I146" s="30">
        <v>2108</v>
      </c>
      <c r="J146" s="30" t="s">
        <v>56</v>
      </c>
      <c r="K146" s="31" t="s">
        <v>176</v>
      </c>
      <c r="L146" s="19" t="s">
        <v>367</v>
      </c>
      <c r="M146" s="20">
        <v>1</v>
      </c>
      <c r="N146" s="20">
        <v>1.6</v>
      </c>
      <c r="O146" s="20">
        <f t="shared" si="31"/>
        <v>1.2000000000000002</v>
      </c>
      <c r="P146" s="20">
        <f t="shared" si="32"/>
        <v>0.25</v>
      </c>
      <c r="Q146" s="20">
        <f t="shared" si="33"/>
        <v>0.1875</v>
      </c>
      <c r="R146" s="20">
        <f t="shared" si="34"/>
        <v>0.25</v>
      </c>
      <c r="S146" s="20">
        <f t="shared" si="35"/>
        <v>0.1875</v>
      </c>
      <c r="T146" s="20">
        <f t="shared" si="36"/>
        <v>0.23</v>
      </c>
      <c r="U146" s="20">
        <f t="shared" si="39"/>
        <v>5.2</v>
      </c>
      <c r="V146" s="21">
        <f t="shared" si="29"/>
        <v>0.60000000000000009</v>
      </c>
      <c r="W146" s="21">
        <f t="shared" si="37"/>
        <v>1.2050000000000001</v>
      </c>
      <c r="X146" s="21">
        <f t="shared" si="40"/>
        <v>1.0845</v>
      </c>
      <c r="Y146" s="20">
        <f t="shared" si="30"/>
        <v>2.6</v>
      </c>
      <c r="Z146" s="20">
        <f t="shared" si="38"/>
        <v>3.2050000000000001</v>
      </c>
      <c r="AA146" s="20">
        <f t="shared" si="41"/>
        <v>2.8845000000000001</v>
      </c>
    </row>
    <row r="147" spans="9:27" x14ac:dyDescent="0.3">
      <c r="I147" s="30">
        <v>2109</v>
      </c>
      <c r="J147" s="30" t="s">
        <v>56</v>
      </c>
      <c r="K147" s="31" t="s">
        <v>177</v>
      </c>
      <c r="L147" s="19" t="s">
        <v>367</v>
      </c>
      <c r="M147" s="20">
        <v>1</v>
      </c>
      <c r="N147" s="20">
        <v>1.1000000000000001</v>
      </c>
      <c r="O147" s="20">
        <f t="shared" si="31"/>
        <v>0.82500000000000007</v>
      </c>
      <c r="P147" s="20">
        <f t="shared" si="32"/>
        <v>0.25</v>
      </c>
      <c r="Q147" s="20">
        <f t="shared" si="33"/>
        <v>0.1875</v>
      </c>
      <c r="R147" s="20">
        <f t="shared" si="34"/>
        <v>0.25</v>
      </c>
      <c r="S147" s="20">
        <f t="shared" si="35"/>
        <v>0.1875</v>
      </c>
      <c r="T147" s="20">
        <f t="shared" si="36"/>
        <v>0.23</v>
      </c>
      <c r="U147" s="20">
        <f t="shared" si="39"/>
        <v>4.8250000000000002</v>
      </c>
      <c r="V147" s="21">
        <f t="shared" si="29"/>
        <v>0.41250000000000009</v>
      </c>
      <c r="W147" s="21">
        <f t="shared" si="37"/>
        <v>1.0175000000000001</v>
      </c>
      <c r="X147" s="21">
        <f t="shared" si="40"/>
        <v>0.91575000000000006</v>
      </c>
      <c r="Y147" s="20">
        <f t="shared" si="30"/>
        <v>2.4125000000000001</v>
      </c>
      <c r="Z147" s="20">
        <f t="shared" si="38"/>
        <v>3.0175000000000001</v>
      </c>
      <c r="AA147" s="20">
        <f t="shared" si="41"/>
        <v>2.7157499999999999</v>
      </c>
    </row>
    <row r="148" spans="9:27" x14ac:dyDescent="0.3">
      <c r="I148" s="30">
        <v>2110</v>
      </c>
      <c r="J148" s="30" t="s">
        <v>56</v>
      </c>
      <c r="K148" s="31" t="s">
        <v>178</v>
      </c>
      <c r="L148" s="19" t="s">
        <v>367</v>
      </c>
      <c r="M148" s="20">
        <v>1</v>
      </c>
      <c r="N148" s="20">
        <v>0.82</v>
      </c>
      <c r="O148" s="20">
        <f t="shared" si="31"/>
        <v>0.61499999999999999</v>
      </c>
      <c r="P148" s="20">
        <f t="shared" si="32"/>
        <v>0.25</v>
      </c>
      <c r="Q148" s="20">
        <f t="shared" si="33"/>
        <v>0.1875</v>
      </c>
      <c r="R148" s="20">
        <f t="shared" si="34"/>
        <v>0.25</v>
      </c>
      <c r="S148" s="20">
        <f t="shared" si="35"/>
        <v>0.1875</v>
      </c>
      <c r="T148" s="20">
        <f t="shared" si="36"/>
        <v>0.23</v>
      </c>
      <c r="U148" s="20">
        <f t="shared" si="39"/>
        <v>4.6150000000000002</v>
      </c>
      <c r="V148" s="21">
        <f t="shared" si="29"/>
        <v>0.3075</v>
      </c>
      <c r="W148" s="21">
        <f t="shared" si="37"/>
        <v>0.91249999999999998</v>
      </c>
      <c r="X148" s="21">
        <f t="shared" si="40"/>
        <v>0.82125000000000004</v>
      </c>
      <c r="Y148" s="20">
        <f t="shared" si="30"/>
        <v>2.3075000000000001</v>
      </c>
      <c r="Z148" s="20">
        <f t="shared" si="38"/>
        <v>2.9125000000000001</v>
      </c>
      <c r="AA148" s="20">
        <f t="shared" si="41"/>
        <v>2.6212499999999999</v>
      </c>
    </row>
    <row r="149" spans="9:27" x14ac:dyDescent="0.3">
      <c r="I149" s="32">
        <v>2111</v>
      </c>
      <c r="J149" s="32" t="s">
        <v>56</v>
      </c>
      <c r="K149" s="33" t="s">
        <v>179</v>
      </c>
      <c r="L149" s="22" t="s">
        <v>369</v>
      </c>
      <c r="M149" s="20">
        <v>4</v>
      </c>
      <c r="N149" s="20">
        <v>3.1</v>
      </c>
      <c r="O149" s="20">
        <f t="shared" si="31"/>
        <v>8.06</v>
      </c>
      <c r="P149" s="20">
        <f t="shared" si="32"/>
        <v>0.25</v>
      </c>
      <c r="Q149" s="20">
        <f t="shared" si="33"/>
        <v>0.65</v>
      </c>
      <c r="R149" s="20">
        <f t="shared" si="34"/>
        <v>0.25</v>
      </c>
      <c r="S149" s="20">
        <f t="shared" si="35"/>
        <v>0.65</v>
      </c>
      <c r="T149" s="20">
        <f t="shared" si="36"/>
        <v>0.23</v>
      </c>
      <c r="U149" s="20">
        <f t="shared" si="39"/>
        <v>12.06</v>
      </c>
      <c r="V149" s="21">
        <f t="shared" si="29"/>
        <v>4.03</v>
      </c>
      <c r="W149" s="21">
        <f t="shared" si="37"/>
        <v>5.5600000000000014</v>
      </c>
      <c r="X149" s="21">
        <f t="shared" si="40"/>
        <v>5.0040000000000013</v>
      </c>
      <c r="Y149" s="20">
        <f t="shared" si="30"/>
        <v>6.03</v>
      </c>
      <c r="Z149" s="20">
        <f t="shared" si="38"/>
        <v>7.5600000000000014</v>
      </c>
      <c r="AA149" s="20">
        <f t="shared" si="41"/>
        <v>6.8040000000000012</v>
      </c>
    </row>
    <row r="150" spans="9:27" x14ac:dyDescent="0.3">
      <c r="I150" s="30">
        <v>2112</v>
      </c>
      <c r="J150" s="30" t="s">
        <v>56</v>
      </c>
      <c r="K150" s="31" t="s">
        <v>180</v>
      </c>
      <c r="L150" s="19" t="s">
        <v>367</v>
      </c>
      <c r="M150" s="20">
        <v>1</v>
      </c>
      <c r="N150" s="20">
        <v>1.62</v>
      </c>
      <c r="O150" s="20">
        <f t="shared" si="31"/>
        <v>1.2150000000000001</v>
      </c>
      <c r="P150" s="20">
        <f t="shared" si="32"/>
        <v>0.25</v>
      </c>
      <c r="Q150" s="20">
        <f t="shared" si="33"/>
        <v>0.1875</v>
      </c>
      <c r="R150" s="20">
        <f t="shared" si="34"/>
        <v>0.25</v>
      </c>
      <c r="S150" s="20">
        <f t="shared" si="35"/>
        <v>0.1875</v>
      </c>
      <c r="T150" s="20">
        <f t="shared" si="36"/>
        <v>0.23</v>
      </c>
      <c r="U150" s="20">
        <f t="shared" si="39"/>
        <v>5.2149999999999999</v>
      </c>
      <c r="V150" s="21">
        <f t="shared" si="29"/>
        <v>0.60750000000000004</v>
      </c>
      <c r="W150" s="21">
        <f t="shared" si="37"/>
        <v>1.2124999999999999</v>
      </c>
      <c r="X150" s="21">
        <f t="shared" si="40"/>
        <v>1.0912499999999998</v>
      </c>
      <c r="Y150" s="20">
        <f t="shared" si="30"/>
        <v>2.6074999999999999</v>
      </c>
      <c r="Z150" s="20">
        <f t="shared" si="38"/>
        <v>3.2124999999999999</v>
      </c>
      <c r="AA150" s="20">
        <f t="shared" si="41"/>
        <v>2.8912499999999999</v>
      </c>
    </row>
    <row r="151" spans="9:27" x14ac:dyDescent="0.3">
      <c r="I151" s="30">
        <v>2113</v>
      </c>
      <c r="J151" s="30" t="s">
        <v>56</v>
      </c>
      <c r="K151" s="31" t="s">
        <v>181</v>
      </c>
      <c r="L151" s="19" t="s">
        <v>367</v>
      </c>
      <c r="M151" s="20">
        <v>1</v>
      </c>
      <c r="N151" s="20">
        <v>0.93</v>
      </c>
      <c r="O151" s="20">
        <f t="shared" si="31"/>
        <v>0.69750000000000001</v>
      </c>
      <c r="P151" s="20">
        <f t="shared" si="32"/>
        <v>0.25</v>
      </c>
      <c r="Q151" s="20">
        <f t="shared" si="33"/>
        <v>0.1875</v>
      </c>
      <c r="R151" s="20">
        <f t="shared" si="34"/>
        <v>0.25</v>
      </c>
      <c r="S151" s="20">
        <f t="shared" si="35"/>
        <v>0.1875</v>
      </c>
      <c r="T151" s="20">
        <f t="shared" si="36"/>
        <v>0.23</v>
      </c>
      <c r="U151" s="20">
        <f t="shared" si="39"/>
        <v>4.6974999999999998</v>
      </c>
      <c r="V151" s="21">
        <f t="shared" si="29"/>
        <v>0.34875</v>
      </c>
      <c r="W151" s="21">
        <f t="shared" si="37"/>
        <v>0.95374999999999999</v>
      </c>
      <c r="X151" s="21">
        <f t="shared" si="40"/>
        <v>0.85837500000000011</v>
      </c>
      <c r="Y151" s="20">
        <f t="shared" si="30"/>
        <v>2.3487499999999999</v>
      </c>
      <c r="Z151" s="20">
        <f t="shared" si="38"/>
        <v>2.9537499999999999</v>
      </c>
      <c r="AA151" s="20">
        <f t="shared" si="41"/>
        <v>2.6583749999999999</v>
      </c>
    </row>
    <row r="152" spans="9:27" x14ac:dyDescent="0.3">
      <c r="I152" s="30">
        <v>2114</v>
      </c>
      <c r="J152" s="30" t="s">
        <v>56</v>
      </c>
      <c r="K152" s="31" t="s">
        <v>182</v>
      </c>
      <c r="L152" s="19" t="s">
        <v>367</v>
      </c>
      <c r="M152" s="20">
        <v>1</v>
      </c>
      <c r="N152" s="20">
        <v>1.19</v>
      </c>
      <c r="O152" s="20">
        <f t="shared" si="31"/>
        <v>0.89249999999999996</v>
      </c>
      <c r="P152" s="20">
        <f t="shared" si="32"/>
        <v>0.25</v>
      </c>
      <c r="Q152" s="20">
        <f t="shared" si="33"/>
        <v>0.1875</v>
      </c>
      <c r="R152" s="20">
        <f t="shared" si="34"/>
        <v>0.25</v>
      </c>
      <c r="S152" s="20">
        <f t="shared" si="35"/>
        <v>0.1875</v>
      </c>
      <c r="T152" s="20">
        <f t="shared" si="36"/>
        <v>0.23</v>
      </c>
      <c r="U152" s="20">
        <f t="shared" si="39"/>
        <v>4.8925000000000001</v>
      </c>
      <c r="V152" s="21">
        <f t="shared" si="29"/>
        <v>0.44624999999999998</v>
      </c>
      <c r="W152" s="21">
        <f t="shared" si="37"/>
        <v>1.05125</v>
      </c>
      <c r="X152" s="21">
        <f t="shared" si="40"/>
        <v>0.94612499999999999</v>
      </c>
      <c r="Y152" s="20">
        <f t="shared" si="30"/>
        <v>2.44625</v>
      </c>
      <c r="Z152" s="20">
        <f t="shared" si="38"/>
        <v>3.05125</v>
      </c>
      <c r="AA152" s="20">
        <f t="shared" si="41"/>
        <v>2.7461250000000001</v>
      </c>
    </row>
    <row r="153" spans="9:27" x14ac:dyDescent="0.3">
      <c r="I153" s="30">
        <v>2115</v>
      </c>
      <c r="J153" s="30" t="s">
        <v>56</v>
      </c>
      <c r="K153" s="31" t="s">
        <v>183</v>
      </c>
      <c r="L153" s="19" t="s">
        <v>367</v>
      </c>
      <c r="M153" s="20">
        <v>1</v>
      </c>
      <c r="N153" s="20">
        <v>2.38</v>
      </c>
      <c r="O153" s="20">
        <f t="shared" si="31"/>
        <v>1.7849999999999999</v>
      </c>
      <c r="P153" s="20">
        <f t="shared" si="32"/>
        <v>0.25</v>
      </c>
      <c r="Q153" s="20">
        <f t="shared" si="33"/>
        <v>0.1875</v>
      </c>
      <c r="R153" s="20">
        <f t="shared" si="34"/>
        <v>0.25</v>
      </c>
      <c r="S153" s="20">
        <f t="shared" si="35"/>
        <v>0.1875</v>
      </c>
      <c r="T153" s="20">
        <f t="shared" si="36"/>
        <v>0.23</v>
      </c>
      <c r="U153" s="20">
        <f t="shared" si="39"/>
        <v>5.7850000000000001</v>
      </c>
      <c r="V153" s="21">
        <f t="shared" si="29"/>
        <v>0.89249999999999996</v>
      </c>
      <c r="W153" s="21">
        <f t="shared" si="37"/>
        <v>1.4975000000000001</v>
      </c>
      <c r="X153" s="21">
        <f t="shared" si="40"/>
        <v>1.34775</v>
      </c>
      <c r="Y153" s="20">
        <f t="shared" si="30"/>
        <v>2.8925000000000001</v>
      </c>
      <c r="Z153" s="20">
        <f t="shared" si="38"/>
        <v>3.4975000000000001</v>
      </c>
      <c r="AA153" s="20">
        <f t="shared" si="41"/>
        <v>3.1477499999999998</v>
      </c>
    </row>
    <row r="154" spans="9:27" x14ac:dyDescent="0.3">
      <c r="I154" s="30">
        <v>2116</v>
      </c>
      <c r="J154" s="30" t="s">
        <v>56</v>
      </c>
      <c r="K154" s="31" t="s">
        <v>184</v>
      </c>
      <c r="L154" s="19" t="s">
        <v>367</v>
      </c>
      <c r="M154" s="20">
        <v>1</v>
      </c>
      <c r="N154" s="20">
        <v>1.31</v>
      </c>
      <c r="O154" s="20">
        <f t="shared" si="31"/>
        <v>0.98250000000000004</v>
      </c>
      <c r="P154" s="20">
        <f t="shared" si="32"/>
        <v>0.25</v>
      </c>
      <c r="Q154" s="20">
        <f t="shared" si="33"/>
        <v>0.1875</v>
      </c>
      <c r="R154" s="20">
        <f t="shared" si="34"/>
        <v>0.25</v>
      </c>
      <c r="S154" s="20">
        <f t="shared" si="35"/>
        <v>0.1875</v>
      </c>
      <c r="T154" s="20">
        <f t="shared" si="36"/>
        <v>0.23</v>
      </c>
      <c r="U154" s="20">
        <f t="shared" si="39"/>
        <v>4.9824999999999999</v>
      </c>
      <c r="V154" s="21">
        <f t="shared" si="29"/>
        <v>0.49125000000000002</v>
      </c>
      <c r="W154" s="21">
        <f t="shared" si="37"/>
        <v>1.0962499999999999</v>
      </c>
      <c r="X154" s="21">
        <f t="shared" si="40"/>
        <v>0.98662499999999997</v>
      </c>
      <c r="Y154" s="20">
        <f t="shared" si="30"/>
        <v>2.49125</v>
      </c>
      <c r="Z154" s="20">
        <f t="shared" si="38"/>
        <v>3.0962499999999999</v>
      </c>
      <c r="AA154" s="20">
        <f t="shared" si="41"/>
        <v>2.7866250000000004</v>
      </c>
    </row>
    <row r="155" spans="9:27" x14ac:dyDescent="0.3">
      <c r="I155" s="30">
        <v>2117</v>
      </c>
      <c r="J155" s="30" t="s">
        <v>56</v>
      </c>
      <c r="K155" s="31" t="s">
        <v>185</v>
      </c>
      <c r="L155" s="19" t="s">
        <v>367</v>
      </c>
      <c r="M155" s="20">
        <v>1</v>
      </c>
      <c r="N155" s="20">
        <v>0.6</v>
      </c>
      <c r="O155" s="20">
        <f t="shared" si="31"/>
        <v>0.44999999999999996</v>
      </c>
      <c r="P155" s="20">
        <f t="shared" si="32"/>
        <v>0.25</v>
      </c>
      <c r="Q155" s="20">
        <f t="shared" si="33"/>
        <v>0.1875</v>
      </c>
      <c r="R155" s="20">
        <f t="shared" si="34"/>
        <v>0.25</v>
      </c>
      <c r="S155" s="20">
        <f t="shared" si="35"/>
        <v>0.1875</v>
      </c>
      <c r="T155" s="20">
        <f t="shared" si="36"/>
        <v>0.23</v>
      </c>
      <c r="U155" s="20">
        <f t="shared" si="39"/>
        <v>4.45</v>
      </c>
      <c r="V155" s="21">
        <f t="shared" si="29"/>
        <v>0.22499999999999998</v>
      </c>
      <c r="W155" s="21">
        <f t="shared" si="37"/>
        <v>0.83</v>
      </c>
      <c r="X155" s="21">
        <f t="shared" si="40"/>
        <v>0.747</v>
      </c>
      <c r="Y155" s="20">
        <f t="shared" si="30"/>
        <v>2.2250000000000001</v>
      </c>
      <c r="Z155" s="20">
        <f t="shared" si="38"/>
        <v>2.83</v>
      </c>
      <c r="AA155" s="20">
        <f t="shared" si="41"/>
        <v>2.5470000000000002</v>
      </c>
    </row>
    <row r="156" spans="9:27" x14ac:dyDescent="0.3">
      <c r="I156" s="30">
        <v>2119</v>
      </c>
      <c r="J156" s="30" t="s">
        <v>56</v>
      </c>
      <c r="K156" s="31" t="s">
        <v>186</v>
      </c>
      <c r="L156" s="19" t="s">
        <v>367</v>
      </c>
      <c r="M156" s="20">
        <v>1</v>
      </c>
      <c r="N156" s="20">
        <v>0.8</v>
      </c>
      <c r="O156" s="20">
        <f t="shared" si="31"/>
        <v>0.60000000000000009</v>
      </c>
      <c r="P156" s="20">
        <f t="shared" si="32"/>
        <v>0.25</v>
      </c>
      <c r="Q156" s="20">
        <f t="shared" si="33"/>
        <v>0.1875</v>
      </c>
      <c r="R156" s="20">
        <f t="shared" si="34"/>
        <v>0.25</v>
      </c>
      <c r="S156" s="20">
        <f t="shared" si="35"/>
        <v>0.1875</v>
      </c>
      <c r="T156" s="20">
        <f t="shared" si="36"/>
        <v>0.23</v>
      </c>
      <c r="U156" s="20">
        <f t="shared" si="39"/>
        <v>4.5999999999999996</v>
      </c>
      <c r="V156" s="21">
        <f t="shared" si="29"/>
        <v>0.30000000000000004</v>
      </c>
      <c r="W156" s="21">
        <f t="shared" si="37"/>
        <v>0.90500000000000003</v>
      </c>
      <c r="X156" s="21">
        <f t="shared" si="40"/>
        <v>0.8145</v>
      </c>
      <c r="Y156" s="20">
        <f t="shared" si="30"/>
        <v>2.2999999999999998</v>
      </c>
      <c r="Z156" s="20">
        <f t="shared" si="38"/>
        <v>2.9049999999999998</v>
      </c>
      <c r="AA156" s="20">
        <f t="shared" si="41"/>
        <v>2.6145</v>
      </c>
    </row>
    <row r="157" spans="9:27" x14ac:dyDescent="0.3">
      <c r="I157" s="30">
        <v>2118</v>
      </c>
      <c r="J157" s="30" t="s">
        <v>56</v>
      </c>
      <c r="K157" s="31" t="s">
        <v>187</v>
      </c>
      <c r="L157" s="19" t="s">
        <v>367</v>
      </c>
      <c r="M157" s="20">
        <v>1</v>
      </c>
      <c r="N157" s="20">
        <v>1.06</v>
      </c>
      <c r="O157" s="20">
        <f t="shared" si="31"/>
        <v>0.79500000000000004</v>
      </c>
      <c r="P157" s="20">
        <f t="shared" si="32"/>
        <v>0.25</v>
      </c>
      <c r="Q157" s="20">
        <f t="shared" si="33"/>
        <v>0.1875</v>
      </c>
      <c r="R157" s="20">
        <f t="shared" si="34"/>
        <v>0.25</v>
      </c>
      <c r="S157" s="20">
        <f t="shared" si="35"/>
        <v>0.1875</v>
      </c>
      <c r="T157" s="20">
        <f t="shared" si="36"/>
        <v>0.23</v>
      </c>
      <c r="U157" s="20">
        <f t="shared" si="39"/>
        <v>4.7949999999999999</v>
      </c>
      <c r="V157" s="21">
        <f t="shared" si="29"/>
        <v>0.39750000000000002</v>
      </c>
      <c r="W157" s="21">
        <f t="shared" si="37"/>
        <v>1.0024999999999999</v>
      </c>
      <c r="X157" s="21">
        <f t="shared" si="40"/>
        <v>0.90225</v>
      </c>
      <c r="Y157" s="20">
        <f t="shared" si="30"/>
        <v>2.3975</v>
      </c>
      <c r="Z157" s="20">
        <f t="shared" si="38"/>
        <v>3.0024999999999999</v>
      </c>
      <c r="AA157" s="20">
        <f t="shared" si="41"/>
        <v>2.7022500000000003</v>
      </c>
    </row>
    <row r="158" spans="9:27" x14ac:dyDescent="0.3">
      <c r="I158" s="30">
        <v>2120</v>
      </c>
      <c r="J158" s="30" t="s">
        <v>56</v>
      </c>
      <c r="K158" s="31" t="s">
        <v>188</v>
      </c>
      <c r="L158" s="19" t="s">
        <v>367</v>
      </c>
      <c r="M158" s="20">
        <v>1</v>
      </c>
      <c r="N158" s="20">
        <v>0.82</v>
      </c>
      <c r="O158" s="20">
        <f t="shared" si="31"/>
        <v>0.61499999999999999</v>
      </c>
      <c r="P158" s="20">
        <f t="shared" si="32"/>
        <v>0.25</v>
      </c>
      <c r="Q158" s="20">
        <f t="shared" si="33"/>
        <v>0.1875</v>
      </c>
      <c r="R158" s="20">
        <f t="shared" si="34"/>
        <v>0.25</v>
      </c>
      <c r="S158" s="20">
        <f t="shared" si="35"/>
        <v>0.1875</v>
      </c>
      <c r="T158" s="20">
        <f t="shared" si="36"/>
        <v>0.23</v>
      </c>
      <c r="U158" s="20">
        <f t="shared" si="39"/>
        <v>4.6150000000000002</v>
      </c>
      <c r="V158" s="21">
        <f t="shared" si="29"/>
        <v>0.3075</v>
      </c>
      <c r="W158" s="21">
        <f t="shared" si="37"/>
        <v>0.91249999999999998</v>
      </c>
      <c r="X158" s="21">
        <f t="shared" si="40"/>
        <v>0.82125000000000004</v>
      </c>
      <c r="Y158" s="20">
        <f t="shared" si="30"/>
        <v>2.3075000000000001</v>
      </c>
      <c r="Z158" s="20">
        <f t="shared" si="38"/>
        <v>2.9125000000000001</v>
      </c>
      <c r="AA158" s="20">
        <f t="shared" si="41"/>
        <v>2.6212499999999999</v>
      </c>
    </row>
    <row r="159" spans="9:27" x14ac:dyDescent="0.3">
      <c r="I159" s="30">
        <v>2121</v>
      </c>
      <c r="J159" s="30" t="s">
        <v>56</v>
      </c>
      <c r="K159" s="31" t="s">
        <v>189</v>
      </c>
      <c r="L159" s="19" t="s">
        <v>367</v>
      </c>
      <c r="M159" s="20">
        <v>1</v>
      </c>
      <c r="N159" s="20">
        <v>0.43</v>
      </c>
      <c r="O159" s="20">
        <f t="shared" si="31"/>
        <v>0.32250000000000001</v>
      </c>
      <c r="P159" s="20">
        <f t="shared" si="32"/>
        <v>0.25</v>
      </c>
      <c r="Q159" s="20">
        <f t="shared" si="33"/>
        <v>0.1875</v>
      </c>
      <c r="R159" s="20">
        <f t="shared" si="34"/>
        <v>0.25</v>
      </c>
      <c r="S159" s="20">
        <f t="shared" si="35"/>
        <v>0.1875</v>
      </c>
      <c r="T159" s="20">
        <f t="shared" si="36"/>
        <v>0.23</v>
      </c>
      <c r="U159" s="20">
        <f t="shared" si="39"/>
        <v>4.3224999999999998</v>
      </c>
      <c r="V159" s="21">
        <f t="shared" si="29"/>
        <v>0.16125</v>
      </c>
      <c r="W159" s="21">
        <f t="shared" si="37"/>
        <v>0.76624999999999999</v>
      </c>
      <c r="X159" s="21">
        <f t="shared" si="40"/>
        <v>0.68962500000000004</v>
      </c>
      <c r="Y159" s="20">
        <f t="shared" si="30"/>
        <v>2.1612499999999999</v>
      </c>
      <c r="Z159" s="20">
        <f t="shared" si="38"/>
        <v>2.7662499999999999</v>
      </c>
      <c r="AA159" s="20">
        <f t="shared" si="41"/>
        <v>2.4896249999999998</v>
      </c>
    </row>
    <row r="160" spans="9:27" x14ac:dyDescent="0.3">
      <c r="I160" s="30">
        <v>2122</v>
      </c>
      <c r="J160" s="30" t="s">
        <v>56</v>
      </c>
      <c r="K160" s="31" t="s">
        <v>190</v>
      </c>
      <c r="L160" s="19" t="s">
        <v>367</v>
      </c>
      <c r="M160" s="20">
        <v>1</v>
      </c>
      <c r="N160" s="20">
        <v>0.62</v>
      </c>
      <c r="O160" s="20">
        <f t="shared" si="31"/>
        <v>0.46499999999999997</v>
      </c>
      <c r="P160" s="20">
        <f t="shared" si="32"/>
        <v>0.25</v>
      </c>
      <c r="Q160" s="20">
        <f t="shared" si="33"/>
        <v>0.1875</v>
      </c>
      <c r="R160" s="20">
        <f t="shared" si="34"/>
        <v>0.25</v>
      </c>
      <c r="S160" s="20">
        <f t="shared" si="35"/>
        <v>0.1875</v>
      </c>
      <c r="T160" s="20">
        <f t="shared" si="36"/>
        <v>0.23</v>
      </c>
      <c r="U160" s="20">
        <f t="shared" si="39"/>
        <v>4.4649999999999999</v>
      </c>
      <c r="V160" s="21">
        <f t="shared" si="29"/>
        <v>0.23249999999999996</v>
      </c>
      <c r="W160" s="21">
        <f t="shared" si="37"/>
        <v>0.83749999999999991</v>
      </c>
      <c r="X160" s="21">
        <f t="shared" si="40"/>
        <v>0.75374999999999981</v>
      </c>
      <c r="Y160" s="20">
        <f t="shared" si="30"/>
        <v>2.2324999999999999</v>
      </c>
      <c r="Z160" s="20">
        <f t="shared" si="38"/>
        <v>2.8374999999999999</v>
      </c>
      <c r="AA160" s="20">
        <f t="shared" si="41"/>
        <v>2.55375</v>
      </c>
    </row>
    <row r="161" spans="9:27" x14ac:dyDescent="0.3">
      <c r="I161" s="32">
        <v>2123</v>
      </c>
      <c r="J161" s="32" t="s">
        <v>56</v>
      </c>
      <c r="K161" s="33" t="s">
        <v>191</v>
      </c>
      <c r="L161" s="22" t="s">
        <v>369</v>
      </c>
      <c r="M161" s="20">
        <v>4</v>
      </c>
      <c r="N161" s="20">
        <v>0.84</v>
      </c>
      <c r="O161" s="20">
        <f t="shared" si="31"/>
        <v>2.1840000000000002</v>
      </c>
      <c r="P161" s="20">
        <f t="shared" si="32"/>
        <v>0.25</v>
      </c>
      <c r="Q161" s="20">
        <f t="shared" si="33"/>
        <v>0.65</v>
      </c>
      <c r="R161" s="20">
        <f t="shared" si="34"/>
        <v>0.25</v>
      </c>
      <c r="S161" s="20">
        <f t="shared" si="35"/>
        <v>0.65</v>
      </c>
      <c r="T161" s="20">
        <f t="shared" si="36"/>
        <v>0.23</v>
      </c>
      <c r="U161" s="20">
        <f t="shared" si="39"/>
        <v>6.1840000000000002</v>
      </c>
      <c r="V161" s="21">
        <f t="shared" si="29"/>
        <v>1.0920000000000001</v>
      </c>
      <c r="W161" s="21">
        <f t="shared" si="37"/>
        <v>2.6219999999999999</v>
      </c>
      <c r="X161" s="21">
        <f t="shared" si="40"/>
        <v>2.3597999999999999</v>
      </c>
      <c r="Y161" s="20">
        <f t="shared" si="30"/>
        <v>3.0920000000000001</v>
      </c>
      <c r="Z161" s="20">
        <f t="shared" si="38"/>
        <v>4.6220000000000008</v>
      </c>
      <c r="AA161" s="20">
        <f t="shared" si="41"/>
        <v>4.1598000000000006</v>
      </c>
    </row>
    <row r="162" spans="9:27" x14ac:dyDescent="0.3">
      <c r="I162" s="30">
        <v>2124</v>
      </c>
      <c r="J162" s="30" t="s">
        <v>56</v>
      </c>
      <c r="K162" s="31" t="s">
        <v>192</v>
      </c>
      <c r="L162" s="19" t="s">
        <v>367</v>
      </c>
      <c r="M162" s="20">
        <v>1</v>
      </c>
      <c r="N162" s="20">
        <v>2.85</v>
      </c>
      <c r="O162" s="20">
        <f t="shared" si="31"/>
        <v>2.1375000000000002</v>
      </c>
      <c r="P162" s="20">
        <f t="shared" si="32"/>
        <v>0.25</v>
      </c>
      <c r="Q162" s="20">
        <f t="shared" si="33"/>
        <v>0.1875</v>
      </c>
      <c r="R162" s="20">
        <f t="shared" si="34"/>
        <v>0.25</v>
      </c>
      <c r="S162" s="20">
        <f t="shared" si="35"/>
        <v>0.1875</v>
      </c>
      <c r="T162" s="20">
        <f t="shared" si="36"/>
        <v>0.23</v>
      </c>
      <c r="U162" s="20">
        <f t="shared" si="39"/>
        <v>6.1375000000000002</v>
      </c>
      <c r="V162" s="21">
        <f t="shared" si="29"/>
        <v>1.0687500000000001</v>
      </c>
      <c r="W162" s="21">
        <f t="shared" si="37"/>
        <v>1.6737500000000001</v>
      </c>
      <c r="X162" s="21">
        <f t="shared" si="40"/>
        <v>1.5063750000000002</v>
      </c>
      <c r="Y162" s="20">
        <f t="shared" si="30"/>
        <v>3.0687500000000001</v>
      </c>
      <c r="Z162" s="20">
        <f t="shared" si="38"/>
        <v>3.6737500000000001</v>
      </c>
      <c r="AA162" s="20">
        <f t="shared" si="41"/>
        <v>3.3063750000000001</v>
      </c>
    </row>
    <row r="163" spans="9:27" x14ac:dyDescent="0.3">
      <c r="I163" s="30">
        <v>2125</v>
      </c>
      <c r="J163" s="30" t="s">
        <v>56</v>
      </c>
      <c r="K163" s="31" t="s">
        <v>193</v>
      </c>
      <c r="L163" s="19" t="s">
        <v>367</v>
      </c>
      <c r="M163" s="20">
        <v>1</v>
      </c>
      <c r="N163" s="20">
        <v>3.55</v>
      </c>
      <c r="O163" s="20">
        <f t="shared" si="31"/>
        <v>2.6624999999999996</v>
      </c>
      <c r="P163" s="20">
        <f t="shared" si="32"/>
        <v>0.25</v>
      </c>
      <c r="Q163" s="20">
        <f t="shared" si="33"/>
        <v>0.1875</v>
      </c>
      <c r="R163" s="20">
        <f t="shared" si="34"/>
        <v>0.25</v>
      </c>
      <c r="S163" s="20">
        <f t="shared" si="35"/>
        <v>0.1875</v>
      </c>
      <c r="T163" s="20">
        <f t="shared" si="36"/>
        <v>0.23</v>
      </c>
      <c r="U163" s="20">
        <f t="shared" si="39"/>
        <v>6.6624999999999996</v>
      </c>
      <c r="V163" s="21">
        <f t="shared" si="29"/>
        <v>1.3312499999999998</v>
      </c>
      <c r="W163" s="21">
        <f t="shared" si="37"/>
        <v>1.9362499999999998</v>
      </c>
      <c r="X163" s="21">
        <f t="shared" si="40"/>
        <v>1.7426249999999999</v>
      </c>
      <c r="Y163" s="20">
        <f t="shared" si="30"/>
        <v>3.3312499999999998</v>
      </c>
      <c r="Z163" s="20">
        <f t="shared" si="38"/>
        <v>3.9362499999999998</v>
      </c>
      <c r="AA163" s="20">
        <f t="shared" si="41"/>
        <v>3.5426249999999997</v>
      </c>
    </row>
    <row r="164" spans="9:27" x14ac:dyDescent="0.3">
      <c r="I164" s="30">
        <v>2128</v>
      </c>
      <c r="J164" s="30" t="s">
        <v>56</v>
      </c>
      <c r="K164" s="31" t="s">
        <v>194</v>
      </c>
      <c r="L164" s="19" t="s">
        <v>367</v>
      </c>
      <c r="M164" s="20">
        <v>1</v>
      </c>
      <c r="N164" s="20">
        <v>1.81</v>
      </c>
      <c r="O164" s="20">
        <f t="shared" si="31"/>
        <v>1.3574999999999999</v>
      </c>
      <c r="P164" s="20">
        <f t="shared" si="32"/>
        <v>0.25</v>
      </c>
      <c r="Q164" s="20">
        <f t="shared" si="33"/>
        <v>0.1875</v>
      </c>
      <c r="R164" s="20">
        <f t="shared" si="34"/>
        <v>0.25</v>
      </c>
      <c r="S164" s="20">
        <f t="shared" si="35"/>
        <v>0.1875</v>
      </c>
      <c r="T164" s="20">
        <f t="shared" si="36"/>
        <v>0.23</v>
      </c>
      <c r="U164" s="20">
        <f t="shared" si="39"/>
        <v>5.3574999999999999</v>
      </c>
      <c r="V164" s="21">
        <f t="shared" si="29"/>
        <v>0.67874999999999996</v>
      </c>
      <c r="W164" s="21">
        <f t="shared" si="37"/>
        <v>1.2837499999999999</v>
      </c>
      <c r="X164" s="21">
        <f t="shared" si="40"/>
        <v>1.155375</v>
      </c>
      <c r="Y164" s="20">
        <f t="shared" si="30"/>
        <v>2.67875</v>
      </c>
      <c r="Z164" s="20">
        <f t="shared" si="38"/>
        <v>3.2837499999999999</v>
      </c>
      <c r="AA164" s="20">
        <f t="shared" si="41"/>
        <v>2.9553750000000001</v>
      </c>
    </row>
    <row r="165" spans="9:27" x14ac:dyDescent="0.3">
      <c r="I165" s="30">
        <v>2127</v>
      </c>
      <c r="J165" s="30" t="s">
        <v>56</v>
      </c>
      <c r="K165" s="31" t="s">
        <v>195</v>
      </c>
      <c r="L165" s="19" t="s">
        <v>367</v>
      </c>
      <c r="M165" s="20">
        <v>1</v>
      </c>
      <c r="N165" s="20">
        <v>0.87</v>
      </c>
      <c r="O165" s="20">
        <f t="shared" si="31"/>
        <v>0.65249999999999997</v>
      </c>
      <c r="P165" s="20">
        <f t="shared" si="32"/>
        <v>0.25</v>
      </c>
      <c r="Q165" s="20">
        <f t="shared" si="33"/>
        <v>0.1875</v>
      </c>
      <c r="R165" s="20">
        <f t="shared" si="34"/>
        <v>0.25</v>
      </c>
      <c r="S165" s="20">
        <f t="shared" si="35"/>
        <v>0.1875</v>
      </c>
      <c r="T165" s="20">
        <f t="shared" si="36"/>
        <v>0.23</v>
      </c>
      <c r="U165" s="20">
        <f t="shared" si="39"/>
        <v>4.6524999999999999</v>
      </c>
      <c r="V165" s="21">
        <f t="shared" si="29"/>
        <v>0.32624999999999998</v>
      </c>
      <c r="W165" s="21">
        <f t="shared" si="37"/>
        <v>0.93125000000000002</v>
      </c>
      <c r="X165" s="21">
        <f t="shared" si="40"/>
        <v>0.83812500000000001</v>
      </c>
      <c r="Y165" s="20">
        <f t="shared" si="30"/>
        <v>2.3262499999999999</v>
      </c>
      <c r="Z165" s="20">
        <f t="shared" si="38"/>
        <v>2.9312499999999999</v>
      </c>
      <c r="AA165" s="20">
        <f t="shared" si="41"/>
        <v>2.6381250000000001</v>
      </c>
    </row>
    <row r="166" spans="9:27" x14ac:dyDescent="0.3">
      <c r="I166" s="30">
        <v>2126</v>
      </c>
      <c r="J166" s="30" t="s">
        <v>56</v>
      </c>
      <c r="K166" s="31" t="s">
        <v>196</v>
      </c>
      <c r="L166" s="19" t="s">
        <v>367</v>
      </c>
      <c r="M166" s="20">
        <v>1</v>
      </c>
      <c r="N166" s="20">
        <v>0.52</v>
      </c>
      <c r="O166" s="20">
        <f t="shared" si="31"/>
        <v>0.39</v>
      </c>
      <c r="P166" s="20">
        <f t="shared" si="32"/>
        <v>0.25</v>
      </c>
      <c r="Q166" s="20">
        <f t="shared" si="33"/>
        <v>0.1875</v>
      </c>
      <c r="R166" s="20">
        <f t="shared" si="34"/>
        <v>0.25</v>
      </c>
      <c r="S166" s="20">
        <f t="shared" si="35"/>
        <v>0.1875</v>
      </c>
      <c r="T166" s="20">
        <f t="shared" si="36"/>
        <v>0.23</v>
      </c>
      <c r="U166" s="20">
        <f t="shared" si="39"/>
        <v>4.3899999999999997</v>
      </c>
      <c r="V166" s="21">
        <f t="shared" ref="V166:V229" si="42">IF($D$17="Y",O166+($C$29*O166/100),O166)</f>
        <v>0.19500000000000001</v>
      </c>
      <c r="W166" s="21">
        <f t="shared" si="37"/>
        <v>0.8</v>
      </c>
      <c r="X166" s="21">
        <f t="shared" si="40"/>
        <v>0.72</v>
      </c>
      <c r="Y166" s="20">
        <f t="shared" ref="Y166:Y229" si="43">IF($D$17="Y",U166+($C$29*U166/100),U166)</f>
        <v>2.1949999999999998</v>
      </c>
      <c r="Z166" s="20">
        <f t="shared" si="38"/>
        <v>2.8</v>
      </c>
      <c r="AA166" s="20">
        <f t="shared" si="41"/>
        <v>2.5199999999999996</v>
      </c>
    </row>
    <row r="167" spans="9:27" x14ac:dyDescent="0.3">
      <c r="I167" s="30">
        <v>2129</v>
      </c>
      <c r="J167" s="30" t="s">
        <v>56</v>
      </c>
      <c r="K167" s="31" t="s">
        <v>197</v>
      </c>
      <c r="L167" s="19" t="s">
        <v>367</v>
      </c>
      <c r="M167" s="20">
        <v>1</v>
      </c>
      <c r="N167" s="20">
        <v>0.9</v>
      </c>
      <c r="O167" s="20">
        <f t="shared" si="31"/>
        <v>0.67500000000000004</v>
      </c>
      <c r="P167" s="20">
        <f t="shared" si="32"/>
        <v>0.25</v>
      </c>
      <c r="Q167" s="20">
        <f t="shared" si="33"/>
        <v>0.1875</v>
      </c>
      <c r="R167" s="20">
        <f t="shared" si="34"/>
        <v>0.25</v>
      </c>
      <c r="S167" s="20">
        <f t="shared" si="35"/>
        <v>0.1875</v>
      </c>
      <c r="T167" s="20">
        <f t="shared" si="36"/>
        <v>0.23</v>
      </c>
      <c r="U167" s="20">
        <f t="shared" si="39"/>
        <v>4.6749999999999998</v>
      </c>
      <c r="V167" s="21">
        <f t="shared" si="42"/>
        <v>0.33750000000000002</v>
      </c>
      <c r="W167" s="21">
        <f t="shared" si="37"/>
        <v>0.9425</v>
      </c>
      <c r="X167" s="21">
        <f t="shared" si="40"/>
        <v>0.84825000000000006</v>
      </c>
      <c r="Y167" s="20">
        <f t="shared" si="43"/>
        <v>2.3374999999999999</v>
      </c>
      <c r="Z167" s="20">
        <f t="shared" si="38"/>
        <v>2.9424999999999999</v>
      </c>
      <c r="AA167" s="20">
        <f t="shared" si="41"/>
        <v>2.64825</v>
      </c>
    </row>
    <row r="168" spans="9:27" x14ac:dyDescent="0.3">
      <c r="I168" s="32">
        <v>2130</v>
      </c>
      <c r="J168" s="32" t="s">
        <v>56</v>
      </c>
      <c r="K168" s="33" t="s">
        <v>198</v>
      </c>
      <c r="L168" s="22" t="s">
        <v>370</v>
      </c>
      <c r="M168" s="20">
        <v>2</v>
      </c>
      <c r="N168" s="20">
        <v>0.66</v>
      </c>
      <c r="O168" s="20">
        <f t="shared" si="31"/>
        <v>0.59400000000000008</v>
      </c>
      <c r="P168" s="20">
        <f t="shared" si="32"/>
        <v>0.25</v>
      </c>
      <c r="Q168" s="20">
        <f t="shared" si="33"/>
        <v>0.22500000000000001</v>
      </c>
      <c r="R168" s="20">
        <f t="shared" si="34"/>
        <v>0.25</v>
      </c>
      <c r="S168" s="20">
        <f t="shared" si="35"/>
        <v>0.22500000000000001</v>
      </c>
      <c r="T168" s="20">
        <f t="shared" si="36"/>
        <v>0.23</v>
      </c>
      <c r="U168" s="20">
        <f t="shared" si="39"/>
        <v>4.5940000000000003</v>
      </c>
      <c r="V168" s="21">
        <f t="shared" si="42"/>
        <v>0.29700000000000004</v>
      </c>
      <c r="W168" s="21">
        <f t="shared" si="37"/>
        <v>0.97699999999999998</v>
      </c>
      <c r="X168" s="21">
        <f t="shared" si="40"/>
        <v>0.87929999999999997</v>
      </c>
      <c r="Y168" s="20">
        <f t="shared" si="43"/>
        <v>2.2970000000000002</v>
      </c>
      <c r="Z168" s="20">
        <f t="shared" si="38"/>
        <v>2.9770000000000003</v>
      </c>
      <c r="AA168" s="20">
        <f t="shared" si="41"/>
        <v>2.6793</v>
      </c>
    </row>
    <row r="169" spans="9:27" x14ac:dyDescent="0.3">
      <c r="I169" s="30">
        <v>2131</v>
      </c>
      <c r="J169" s="30" t="s">
        <v>56</v>
      </c>
      <c r="K169" s="31" t="s">
        <v>199</v>
      </c>
      <c r="L169" s="19" t="s">
        <v>367</v>
      </c>
      <c r="M169" s="20">
        <v>1</v>
      </c>
      <c r="N169" s="20">
        <v>0.71</v>
      </c>
      <c r="O169" s="20">
        <f t="shared" si="31"/>
        <v>0.53249999999999997</v>
      </c>
      <c r="P169" s="20">
        <f t="shared" si="32"/>
        <v>0.25</v>
      </c>
      <c r="Q169" s="20">
        <f t="shared" si="33"/>
        <v>0.1875</v>
      </c>
      <c r="R169" s="20">
        <f t="shared" si="34"/>
        <v>0.25</v>
      </c>
      <c r="S169" s="20">
        <f t="shared" si="35"/>
        <v>0.1875</v>
      </c>
      <c r="T169" s="20">
        <f t="shared" si="36"/>
        <v>0.23</v>
      </c>
      <c r="U169" s="20">
        <f t="shared" si="39"/>
        <v>4.5324999999999998</v>
      </c>
      <c r="V169" s="21">
        <f t="shared" si="42"/>
        <v>0.26624999999999999</v>
      </c>
      <c r="W169" s="21">
        <f t="shared" si="37"/>
        <v>0.87124999999999997</v>
      </c>
      <c r="X169" s="21">
        <f t="shared" si="40"/>
        <v>0.78412499999999996</v>
      </c>
      <c r="Y169" s="20">
        <f t="shared" si="43"/>
        <v>2.2662499999999999</v>
      </c>
      <c r="Z169" s="20">
        <f t="shared" si="38"/>
        <v>2.8712499999999999</v>
      </c>
      <c r="AA169" s="20">
        <f t="shared" si="41"/>
        <v>2.5841249999999998</v>
      </c>
    </row>
    <row r="170" spans="9:27" x14ac:dyDescent="0.3">
      <c r="I170" s="30">
        <v>2229</v>
      </c>
      <c r="J170" s="30" t="s">
        <v>56</v>
      </c>
      <c r="K170" s="31" t="s">
        <v>200</v>
      </c>
      <c r="L170" s="19" t="s">
        <v>367</v>
      </c>
      <c r="M170" s="20">
        <v>1</v>
      </c>
      <c r="N170" s="20">
        <v>0.69</v>
      </c>
      <c r="O170" s="20">
        <f t="shared" si="31"/>
        <v>0.51749999999999996</v>
      </c>
      <c r="P170" s="20">
        <f t="shared" si="32"/>
        <v>0.25</v>
      </c>
      <c r="Q170" s="20">
        <f t="shared" si="33"/>
        <v>0.1875</v>
      </c>
      <c r="R170" s="20">
        <f t="shared" si="34"/>
        <v>0.25</v>
      </c>
      <c r="S170" s="20">
        <f t="shared" si="35"/>
        <v>0.1875</v>
      </c>
      <c r="T170" s="20">
        <f t="shared" si="36"/>
        <v>0.23</v>
      </c>
      <c r="U170" s="20">
        <f t="shared" si="39"/>
        <v>4.5175000000000001</v>
      </c>
      <c r="V170" s="21">
        <f t="shared" si="42"/>
        <v>0.25874999999999998</v>
      </c>
      <c r="W170" s="21">
        <f t="shared" si="37"/>
        <v>0.86375000000000002</v>
      </c>
      <c r="X170" s="21">
        <f t="shared" si="40"/>
        <v>0.77737499999999993</v>
      </c>
      <c r="Y170" s="20">
        <f t="shared" si="43"/>
        <v>2.25875</v>
      </c>
      <c r="Z170" s="20">
        <f t="shared" si="38"/>
        <v>2.86375</v>
      </c>
      <c r="AA170" s="20">
        <f t="shared" si="41"/>
        <v>2.577375</v>
      </c>
    </row>
    <row r="171" spans="9:27" x14ac:dyDescent="0.3">
      <c r="I171" s="32">
        <v>2132</v>
      </c>
      <c r="J171" s="32" t="s">
        <v>56</v>
      </c>
      <c r="K171" s="33" t="s">
        <v>201</v>
      </c>
      <c r="L171" s="22" t="s">
        <v>368</v>
      </c>
      <c r="M171" s="20">
        <v>3</v>
      </c>
      <c r="N171" s="20">
        <v>0.68</v>
      </c>
      <c r="O171" s="20">
        <f t="shared" si="31"/>
        <v>0.85000000000000009</v>
      </c>
      <c r="P171" s="20">
        <f t="shared" si="32"/>
        <v>0.25</v>
      </c>
      <c r="Q171" s="20">
        <f t="shared" si="33"/>
        <v>0.3125</v>
      </c>
      <c r="R171" s="20">
        <f t="shared" si="34"/>
        <v>0.25</v>
      </c>
      <c r="S171" s="20">
        <f t="shared" si="35"/>
        <v>0.3125</v>
      </c>
      <c r="T171" s="20">
        <f t="shared" si="36"/>
        <v>0.23</v>
      </c>
      <c r="U171" s="20">
        <f t="shared" si="39"/>
        <v>4.8499999999999996</v>
      </c>
      <c r="V171" s="21">
        <f t="shared" si="42"/>
        <v>0.42500000000000004</v>
      </c>
      <c r="W171" s="21">
        <f t="shared" si="37"/>
        <v>1.28</v>
      </c>
      <c r="X171" s="21">
        <f t="shared" si="40"/>
        <v>1.1520000000000001</v>
      </c>
      <c r="Y171" s="20">
        <f t="shared" si="43"/>
        <v>2.4249999999999998</v>
      </c>
      <c r="Z171" s="20">
        <f t="shared" si="38"/>
        <v>3.28</v>
      </c>
      <c r="AA171" s="20">
        <f t="shared" si="41"/>
        <v>2.952</v>
      </c>
    </row>
    <row r="172" spans="9:27" x14ac:dyDescent="0.3">
      <c r="I172" s="30">
        <v>2133</v>
      </c>
      <c r="J172" s="30" t="s">
        <v>56</v>
      </c>
      <c r="K172" s="31" t="s">
        <v>202</v>
      </c>
      <c r="L172" s="19" t="s">
        <v>367</v>
      </c>
      <c r="M172" s="20">
        <v>1</v>
      </c>
      <c r="N172" s="20">
        <v>11.12</v>
      </c>
      <c r="O172" s="20">
        <f t="shared" si="31"/>
        <v>8.34</v>
      </c>
      <c r="P172" s="20">
        <f t="shared" si="32"/>
        <v>0.25</v>
      </c>
      <c r="Q172" s="20">
        <f t="shared" si="33"/>
        <v>0.1875</v>
      </c>
      <c r="R172" s="20">
        <f t="shared" si="34"/>
        <v>0.25</v>
      </c>
      <c r="S172" s="20">
        <f t="shared" si="35"/>
        <v>0.1875</v>
      </c>
      <c r="T172" s="20">
        <f t="shared" si="36"/>
        <v>0.23</v>
      </c>
      <c r="U172" s="20">
        <f t="shared" si="39"/>
        <v>12.34</v>
      </c>
      <c r="V172" s="21">
        <f t="shared" si="42"/>
        <v>4.17</v>
      </c>
      <c r="W172" s="21">
        <f t="shared" si="37"/>
        <v>4.7750000000000004</v>
      </c>
      <c r="X172" s="21">
        <f t="shared" si="40"/>
        <v>4.2975000000000003</v>
      </c>
      <c r="Y172" s="20">
        <f t="shared" si="43"/>
        <v>6.17</v>
      </c>
      <c r="Z172" s="20">
        <f t="shared" si="38"/>
        <v>6.7750000000000004</v>
      </c>
      <c r="AA172" s="20">
        <f t="shared" si="41"/>
        <v>6.0975000000000001</v>
      </c>
    </row>
    <row r="173" spans="9:27" x14ac:dyDescent="0.3">
      <c r="I173" s="32">
        <v>2134</v>
      </c>
      <c r="J173" s="32" t="s">
        <v>56</v>
      </c>
      <c r="K173" s="33" t="s">
        <v>203</v>
      </c>
      <c r="L173" s="22" t="s">
        <v>369</v>
      </c>
      <c r="M173" s="20">
        <v>4</v>
      </c>
      <c r="N173" s="20">
        <v>2.17</v>
      </c>
      <c r="O173" s="20">
        <f t="shared" si="31"/>
        <v>5.6419999999999995</v>
      </c>
      <c r="P173" s="20">
        <f t="shared" si="32"/>
        <v>0.25</v>
      </c>
      <c r="Q173" s="20">
        <f t="shared" si="33"/>
        <v>0.65</v>
      </c>
      <c r="R173" s="20">
        <f t="shared" si="34"/>
        <v>0.25</v>
      </c>
      <c r="S173" s="20">
        <f t="shared" si="35"/>
        <v>0.65</v>
      </c>
      <c r="T173" s="20">
        <f t="shared" si="36"/>
        <v>0.23</v>
      </c>
      <c r="U173" s="20">
        <f t="shared" si="39"/>
        <v>9.6419999999999995</v>
      </c>
      <c r="V173" s="21">
        <f t="shared" si="42"/>
        <v>2.8209999999999997</v>
      </c>
      <c r="W173" s="21">
        <f t="shared" si="37"/>
        <v>4.351</v>
      </c>
      <c r="X173" s="21">
        <f t="shared" si="40"/>
        <v>3.9158999999999997</v>
      </c>
      <c r="Y173" s="20">
        <f t="shared" si="43"/>
        <v>4.8209999999999997</v>
      </c>
      <c r="Z173" s="20">
        <f t="shared" si="38"/>
        <v>6.3510000000000009</v>
      </c>
      <c r="AA173" s="20">
        <f t="shared" si="41"/>
        <v>5.7159000000000004</v>
      </c>
    </row>
    <row r="174" spans="9:27" x14ac:dyDescent="0.3">
      <c r="I174" s="30">
        <v>2139</v>
      </c>
      <c r="J174" s="30" t="s">
        <v>56</v>
      </c>
      <c r="K174" s="31" t="s">
        <v>204</v>
      </c>
      <c r="L174" s="19" t="s">
        <v>367</v>
      </c>
      <c r="M174" s="20">
        <v>1</v>
      </c>
      <c r="N174" s="20">
        <v>1.83</v>
      </c>
      <c r="O174" s="20">
        <f t="shared" si="31"/>
        <v>1.3725000000000001</v>
      </c>
      <c r="P174" s="20">
        <f t="shared" si="32"/>
        <v>0.25</v>
      </c>
      <c r="Q174" s="20">
        <f t="shared" si="33"/>
        <v>0.1875</v>
      </c>
      <c r="R174" s="20">
        <f t="shared" si="34"/>
        <v>0.25</v>
      </c>
      <c r="S174" s="20">
        <f t="shared" si="35"/>
        <v>0.1875</v>
      </c>
      <c r="T174" s="20">
        <f t="shared" si="36"/>
        <v>0.23</v>
      </c>
      <c r="U174" s="20">
        <f t="shared" si="39"/>
        <v>5.3725000000000005</v>
      </c>
      <c r="V174" s="21">
        <f t="shared" si="42"/>
        <v>0.68625000000000003</v>
      </c>
      <c r="W174" s="21">
        <f t="shared" si="37"/>
        <v>1.29125</v>
      </c>
      <c r="X174" s="21">
        <f t="shared" si="40"/>
        <v>1.1621250000000001</v>
      </c>
      <c r="Y174" s="20">
        <f t="shared" si="43"/>
        <v>2.6862500000000007</v>
      </c>
      <c r="Z174" s="20">
        <f t="shared" si="38"/>
        <v>3.2912500000000007</v>
      </c>
      <c r="AA174" s="20">
        <f t="shared" si="41"/>
        <v>2.9621250000000003</v>
      </c>
    </row>
    <row r="175" spans="9:27" x14ac:dyDescent="0.3">
      <c r="I175" s="30">
        <v>2136</v>
      </c>
      <c r="J175" s="30" t="s">
        <v>56</v>
      </c>
      <c r="K175" s="31" t="s">
        <v>205</v>
      </c>
      <c r="L175" s="19" t="s">
        <v>367</v>
      </c>
      <c r="M175" s="20">
        <v>1</v>
      </c>
      <c r="N175" s="20">
        <v>1.44</v>
      </c>
      <c r="O175" s="20">
        <f t="shared" si="31"/>
        <v>1.08</v>
      </c>
      <c r="P175" s="20">
        <f t="shared" si="32"/>
        <v>0.25</v>
      </c>
      <c r="Q175" s="20">
        <f t="shared" si="33"/>
        <v>0.1875</v>
      </c>
      <c r="R175" s="20">
        <f t="shared" si="34"/>
        <v>0.25</v>
      </c>
      <c r="S175" s="20">
        <f t="shared" si="35"/>
        <v>0.1875</v>
      </c>
      <c r="T175" s="20">
        <f t="shared" si="36"/>
        <v>0.23</v>
      </c>
      <c r="U175" s="20">
        <f t="shared" si="39"/>
        <v>5.08</v>
      </c>
      <c r="V175" s="21">
        <f t="shared" si="42"/>
        <v>0.54</v>
      </c>
      <c r="W175" s="21">
        <f t="shared" si="37"/>
        <v>1.145</v>
      </c>
      <c r="X175" s="21">
        <f t="shared" si="40"/>
        <v>1.0305</v>
      </c>
      <c r="Y175" s="20">
        <f t="shared" si="43"/>
        <v>2.54</v>
      </c>
      <c r="Z175" s="20">
        <f t="shared" si="38"/>
        <v>3.145</v>
      </c>
      <c r="AA175" s="20">
        <f t="shared" si="41"/>
        <v>2.8305000000000002</v>
      </c>
    </row>
    <row r="176" spans="9:27" x14ac:dyDescent="0.3">
      <c r="I176" s="30">
        <v>2135</v>
      </c>
      <c r="J176" s="30" t="s">
        <v>56</v>
      </c>
      <c r="K176" s="31" t="s">
        <v>206</v>
      </c>
      <c r="L176" s="19" t="s">
        <v>367</v>
      </c>
      <c r="M176" s="20">
        <v>1</v>
      </c>
      <c r="N176" s="20">
        <v>1.66</v>
      </c>
      <c r="O176" s="20">
        <f t="shared" si="31"/>
        <v>1.2449999999999999</v>
      </c>
      <c r="P176" s="20">
        <f t="shared" si="32"/>
        <v>0.25</v>
      </c>
      <c r="Q176" s="20">
        <f t="shared" si="33"/>
        <v>0.1875</v>
      </c>
      <c r="R176" s="20">
        <f t="shared" si="34"/>
        <v>0.25</v>
      </c>
      <c r="S176" s="20">
        <f t="shared" si="35"/>
        <v>0.1875</v>
      </c>
      <c r="T176" s="20">
        <f t="shared" si="36"/>
        <v>0.23</v>
      </c>
      <c r="U176" s="20">
        <f t="shared" si="39"/>
        <v>5.2450000000000001</v>
      </c>
      <c r="V176" s="21">
        <f t="shared" si="42"/>
        <v>0.62249999999999994</v>
      </c>
      <c r="W176" s="21">
        <f t="shared" si="37"/>
        <v>1.2275</v>
      </c>
      <c r="X176" s="21">
        <f t="shared" si="40"/>
        <v>1.1047500000000001</v>
      </c>
      <c r="Y176" s="20">
        <f t="shared" si="43"/>
        <v>2.6225000000000001</v>
      </c>
      <c r="Z176" s="20">
        <f t="shared" si="38"/>
        <v>3.2275</v>
      </c>
      <c r="AA176" s="20">
        <f t="shared" si="41"/>
        <v>2.9047500000000004</v>
      </c>
    </row>
    <row r="177" spans="9:27" x14ac:dyDescent="0.3">
      <c r="I177" s="32">
        <v>2137</v>
      </c>
      <c r="J177" s="32" t="s">
        <v>56</v>
      </c>
      <c r="K177" s="33" t="s">
        <v>207</v>
      </c>
      <c r="L177" s="22" t="s">
        <v>369</v>
      </c>
      <c r="M177" s="20">
        <v>4</v>
      </c>
      <c r="N177" s="20">
        <v>1.19</v>
      </c>
      <c r="O177" s="20">
        <f t="shared" si="31"/>
        <v>3.0939999999999999</v>
      </c>
      <c r="P177" s="20">
        <f t="shared" si="32"/>
        <v>0.25</v>
      </c>
      <c r="Q177" s="20">
        <f t="shared" si="33"/>
        <v>0.65</v>
      </c>
      <c r="R177" s="20">
        <f t="shared" si="34"/>
        <v>0.25</v>
      </c>
      <c r="S177" s="20">
        <f t="shared" si="35"/>
        <v>0.65</v>
      </c>
      <c r="T177" s="20">
        <f t="shared" si="36"/>
        <v>0.23</v>
      </c>
      <c r="U177" s="20">
        <f t="shared" si="39"/>
        <v>7.0939999999999994</v>
      </c>
      <c r="V177" s="21">
        <f t="shared" si="42"/>
        <v>1.5469999999999999</v>
      </c>
      <c r="W177" s="21">
        <f t="shared" si="37"/>
        <v>3.077</v>
      </c>
      <c r="X177" s="21">
        <f t="shared" si="40"/>
        <v>2.7692999999999999</v>
      </c>
      <c r="Y177" s="20">
        <f t="shared" si="43"/>
        <v>3.5469999999999997</v>
      </c>
      <c r="Z177" s="20">
        <f t="shared" si="38"/>
        <v>5.0770000000000008</v>
      </c>
      <c r="AA177" s="20">
        <f t="shared" si="41"/>
        <v>4.569300000000001</v>
      </c>
    </row>
    <row r="178" spans="9:27" x14ac:dyDescent="0.3">
      <c r="I178" s="30">
        <v>2138</v>
      </c>
      <c r="J178" s="30" t="s">
        <v>56</v>
      </c>
      <c r="K178" s="31" t="s">
        <v>208</v>
      </c>
      <c r="L178" s="19" t="s">
        <v>367</v>
      </c>
      <c r="M178" s="20">
        <v>1</v>
      </c>
      <c r="N178" s="20">
        <v>1.1100000000000001</v>
      </c>
      <c r="O178" s="20">
        <f t="shared" si="31"/>
        <v>0.83250000000000002</v>
      </c>
      <c r="P178" s="20">
        <f t="shared" si="32"/>
        <v>0.25</v>
      </c>
      <c r="Q178" s="20">
        <f t="shared" si="33"/>
        <v>0.1875</v>
      </c>
      <c r="R178" s="20">
        <f t="shared" si="34"/>
        <v>0.25</v>
      </c>
      <c r="S178" s="20">
        <f t="shared" si="35"/>
        <v>0.1875</v>
      </c>
      <c r="T178" s="20">
        <f t="shared" si="36"/>
        <v>0.23</v>
      </c>
      <c r="U178" s="20">
        <f t="shared" si="39"/>
        <v>4.8324999999999996</v>
      </c>
      <c r="V178" s="21">
        <f t="shared" si="42"/>
        <v>0.41625000000000001</v>
      </c>
      <c r="W178" s="21">
        <f t="shared" si="37"/>
        <v>1.02125</v>
      </c>
      <c r="X178" s="21">
        <f t="shared" si="40"/>
        <v>0.91912499999999997</v>
      </c>
      <c r="Y178" s="20">
        <f t="shared" si="43"/>
        <v>2.4162499999999998</v>
      </c>
      <c r="Z178" s="20">
        <f t="shared" si="38"/>
        <v>3.0212499999999998</v>
      </c>
      <c r="AA178" s="20">
        <f t="shared" si="41"/>
        <v>2.7191249999999996</v>
      </c>
    </row>
    <row r="179" spans="9:27" x14ac:dyDescent="0.3">
      <c r="I179" s="30">
        <v>2140</v>
      </c>
      <c r="J179" s="30" t="s">
        <v>56</v>
      </c>
      <c r="K179" s="31" t="s">
        <v>209</v>
      </c>
      <c r="L179" s="19" t="s">
        <v>367</v>
      </c>
      <c r="M179" s="20">
        <v>1</v>
      </c>
      <c r="N179" s="20">
        <v>0.99</v>
      </c>
      <c r="O179" s="20">
        <f t="shared" si="31"/>
        <v>0.74249999999999994</v>
      </c>
      <c r="P179" s="20">
        <f t="shared" si="32"/>
        <v>0.25</v>
      </c>
      <c r="Q179" s="20">
        <f t="shared" si="33"/>
        <v>0.1875</v>
      </c>
      <c r="R179" s="20">
        <f t="shared" si="34"/>
        <v>0.25</v>
      </c>
      <c r="S179" s="20">
        <f t="shared" si="35"/>
        <v>0.1875</v>
      </c>
      <c r="T179" s="20">
        <f t="shared" si="36"/>
        <v>0.23</v>
      </c>
      <c r="U179" s="20">
        <f t="shared" si="39"/>
        <v>4.7424999999999997</v>
      </c>
      <c r="V179" s="21">
        <f t="shared" si="42"/>
        <v>0.37124999999999991</v>
      </c>
      <c r="W179" s="21">
        <f t="shared" si="37"/>
        <v>0.97624999999999995</v>
      </c>
      <c r="X179" s="21">
        <f t="shared" si="40"/>
        <v>0.87862499999999999</v>
      </c>
      <c r="Y179" s="20">
        <f t="shared" si="43"/>
        <v>2.3712499999999999</v>
      </c>
      <c r="Z179" s="20">
        <f t="shared" si="38"/>
        <v>2.9762499999999998</v>
      </c>
      <c r="AA179" s="20">
        <f t="shared" si="41"/>
        <v>2.6786250000000003</v>
      </c>
    </row>
    <row r="180" spans="9:27" x14ac:dyDescent="0.3">
      <c r="I180" s="32">
        <v>2141</v>
      </c>
      <c r="J180" s="32" t="s">
        <v>56</v>
      </c>
      <c r="K180" s="33" t="s">
        <v>210</v>
      </c>
      <c r="L180" s="22" t="s">
        <v>368</v>
      </c>
      <c r="M180" s="20">
        <v>3</v>
      </c>
      <c r="N180" s="20">
        <v>2.1800000000000002</v>
      </c>
      <c r="O180" s="20">
        <f t="shared" si="31"/>
        <v>2.7250000000000001</v>
      </c>
      <c r="P180" s="20">
        <f t="shared" si="32"/>
        <v>0.25</v>
      </c>
      <c r="Q180" s="20">
        <f t="shared" si="33"/>
        <v>0.3125</v>
      </c>
      <c r="R180" s="20">
        <f t="shared" si="34"/>
        <v>0.25</v>
      </c>
      <c r="S180" s="20">
        <f t="shared" si="35"/>
        <v>0.3125</v>
      </c>
      <c r="T180" s="20">
        <f t="shared" si="36"/>
        <v>0.23</v>
      </c>
      <c r="U180" s="20">
        <f t="shared" si="39"/>
        <v>6.7249999999999996</v>
      </c>
      <c r="V180" s="21">
        <f t="shared" si="42"/>
        <v>1.3625</v>
      </c>
      <c r="W180" s="21">
        <f t="shared" si="37"/>
        <v>2.2175000000000002</v>
      </c>
      <c r="X180" s="21">
        <f t="shared" si="40"/>
        <v>1.9957500000000001</v>
      </c>
      <c r="Y180" s="20">
        <f t="shared" si="43"/>
        <v>3.3624999999999998</v>
      </c>
      <c r="Z180" s="20">
        <f t="shared" si="38"/>
        <v>4.2175000000000002</v>
      </c>
      <c r="AA180" s="20">
        <f t="shared" si="41"/>
        <v>3.7957500000000004</v>
      </c>
    </row>
    <row r="181" spans="9:27" x14ac:dyDescent="0.3">
      <c r="I181" s="32">
        <v>2142</v>
      </c>
      <c r="J181" s="32" t="s">
        <v>56</v>
      </c>
      <c r="K181" s="33" t="s">
        <v>211</v>
      </c>
      <c r="L181" s="22" t="s">
        <v>369</v>
      </c>
      <c r="M181" s="20">
        <v>4</v>
      </c>
      <c r="N181" s="20">
        <v>2.65</v>
      </c>
      <c r="O181" s="20">
        <f t="shared" si="31"/>
        <v>6.8900000000000006</v>
      </c>
      <c r="P181" s="20">
        <f t="shared" si="32"/>
        <v>0.25</v>
      </c>
      <c r="Q181" s="20">
        <f t="shared" si="33"/>
        <v>0.65</v>
      </c>
      <c r="R181" s="20">
        <f t="shared" si="34"/>
        <v>0.25</v>
      </c>
      <c r="S181" s="20">
        <f t="shared" si="35"/>
        <v>0.65</v>
      </c>
      <c r="T181" s="20">
        <f t="shared" si="36"/>
        <v>0.23</v>
      </c>
      <c r="U181" s="20">
        <f t="shared" si="39"/>
        <v>10.89</v>
      </c>
      <c r="V181" s="21">
        <f t="shared" si="42"/>
        <v>3.4450000000000007</v>
      </c>
      <c r="W181" s="21">
        <f t="shared" si="37"/>
        <v>4.9750000000000014</v>
      </c>
      <c r="X181" s="21">
        <f t="shared" si="40"/>
        <v>4.4775000000000009</v>
      </c>
      <c r="Y181" s="20">
        <f t="shared" si="43"/>
        <v>5.4450000000000003</v>
      </c>
      <c r="Z181" s="20">
        <f t="shared" si="38"/>
        <v>6.9750000000000014</v>
      </c>
      <c r="AA181" s="20">
        <f t="shared" si="41"/>
        <v>6.2775000000000007</v>
      </c>
    </row>
    <row r="182" spans="9:27" x14ac:dyDescent="0.3">
      <c r="I182" s="30">
        <v>2143</v>
      </c>
      <c r="J182" s="30" t="s">
        <v>56</v>
      </c>
      <c r="K182" s="31" t="s">
        <v>212</v>
      </c>
      <c r="L182" s="19" t="s">
        <v>367</v>
      </c>
      <c r="M182" s="20">
        <v>1</v>
      </c>
      <c r="N182" s="20">
        <v>0.91</v>
      </c>
      <c r="O182" s="20">
        <f t="shared" si="31"/>
        <v>0.6825</v>
      </c>
      <c r="P182" s="20">
        <f t="shared" si="32"/>
        <v>0.25</v>
      </c>
      <c r="Q182" s="20">
        <f t="shared" si="33"/>
        <v>0.1875</v>
      </c>
      <c r="R182" s="20">
        <f t="shared" si="34"/>
        <v>0.25</v>
      </c>
      <c r="S182" s="20">
        <f t="shared" si="35"/>
        <v>0.1875</v>
      </c>
      <c r="T182" s="20">
        <f t="shared" si="36"/>
        <v>0.23</v>
      </c>
      <c r="U182" s="20">
        <f t="shared" si="39"/>
        <v>4.6825000000000001</v>
      </c>
      <c r="V182" s="21">
        <f t="shared" si="42"/>
        <v>0.34125</v>
      </c>
      <c r="W182" s="21">
        <f t="shared" si="37"/>
        <v>0.94625000000000004</v>
      </c>
      <c r="X182" s="21">
        <f t="shared" si="40"/>
        <v>0.85162500000000008</v>
      </c>
      <c r="Y182" s="20">
        <f t="shared" si="43"/>
        <v>2.3412500000000001</v>
      </c>
      <c r="Z182" s="20">
        <f t="shared" si="38"/>
        <v>2.94625</v>
      </c>
      <c r="AA182" s="20">
        <f t="shared" si="41"/>
        <v>2.6516250000000001</v>
      </c>
    </row>
    <row r="183" spans="9:27" x14ac:dyDescent="0.3">
      <c r="I183" s="32">
        <v>2144</v>
      </c>
      <c r="J183" s="32" t="s">
        <v>56</v>
      </c>
      <c r="K183" s="33" t="s">
        <v>213</v>
      </c>
      <c r="L183" s="22" t="s">
        <v>369</v>
      </c>
      <c r="M183" s="20">
        <v>4</v>
      </c>
      <c r="N183" s="20">
        <v>1.25</v>
      </c>
      <c r="O183" s="20">
        <f t="shared" si="31"/>
        <v>3.25</v>
      </c>
      <c r="P183" s="20">
        <f t="shared" si="32"/>
        <v>0.25</v>
      </c>
      <c r="Q183" s="20">
        <f t="shared" si="33"/>
        <v>0.65</v>
      </c>
      <c r="R183" s="20">
        <f t="shared" si="34"/>
        <v>0.25</v>
      </c>
      <c r="S183" s="20">
        <f t="shared" si="35"/>
        <v>0.65</v>
      </c>
      <c r="T183" s="20">
        <f t="shared" si="36"/>
        <v>0.23</v>
      </c>
      <c r="U183" s="20">
        <f t="shared" si="39"/>
        <v>7.25</v>
      </c>
      <c r="V183" s="21">
        <f t="shared" si="42"/>
        <v>1.625</v>
      </c>
      <c r="W183" s="21">
        <f t="shared" si="37"/>
        <v>3.1549999999999998</v>
      </c>
      <c r="X183" s="21">
        <f t="shared" si="40"/>
        <v>2.8394999999999997</v>
      </c>
      <c r="Y183" s="20">
        <f t="shared" si="43"/>
        <v>3.625</v>
      </c>
      <c r="Z183" s="20">
        <f t="shared" si="38"/>
        <v>5.1550000000000011</v>
      </c>
      <c r="AA183" s="20">
        <f t="shared" si="41"/>
        <v>4.6395000000000008</v>
      </c>
    </row>
    <row r="184" spans="9:27" x14ac:dyDescent="0.3">
      <c r="I184" s="32">
        <v>2145</v>
      </c>
      <c r="J184" s="32" t="s">
        <v>56</v>
      </c>
      <c r="K184" s="33" t="s">
        <v>214</v>
      </c>
      <c r="L184" s="22" t="s">
        <v>370</v>
      </c>
      <c r="M184" s="20">
        <v>2</v>
      </c>
      <c r="N184" s="20">
        <v>2.1800000000000002</v>
      </c>
      <c r="O184" s="20">
        <f t="shared" si="31"/>
        <v>1.9620000000000002</v>
      </c>
      <c r="P184" s="20">
        <f t="shared" si="32"/>
        <v>0.25</v>
      </c>
      <c r="Q184" s="20">
        <f t="shared" si="33"/>
        <v>0.22500000000000001</v>
      </c>
      <c r="R184" s="20">
        <f t="shared" si="34"/>
        <v>0.25</v>
      </c>
      <c r="S184" s="20">
        <f t="shared" si="35"/>
        <v>0.22500000000000001</v>
      </c>
      <c r="T184" s="20">
        <f t="shared" si="36"/>
        <v>0.23</v>
      </c>
      <c r="U184" s="20">
        <f t="shared" si="39"/>
        <v>5.9619999999999997</v>
      </c>
      <c r="V184" s="21">
        <f t="shared" si="42"/>
        <v>0.98100000000000009</v>
      </c>
      <c r="W184" s="21">
        <f t="shared" si="37"/>
        <v>1.6610000000000003</v>
      </c>
      <c r="X184" s="21">
        <f t="shared" si="40"/>
        <v>1.4949000000000001</v>
      </c>
      <c r="Y184" s="20">
        <f t="shared" si="43"/>
        <v>2.9809999999999999</v>
      </c>
      <c r="Z184" s="20">
        <f t="shared" si="38"/>
        <v>3.661</v>
      </c>
      <c r="AA184" s="20">
        <f t="shared" si="41"/>
        <v>3.2949000000000002</v>
      </c>
    </row>
    <row r="185" spans="9:27" x14ac:dyDescent="0.3">
      <c r="I185" s="30">
        <v>2146</v>
      </c>
      <c r="J185" s="30" t="s">
        <v>56</v>
      </c>
      <c r="K185" s="31" t="s">
        <v>215</v>
      </c>
      <c r="L185" s="19" t="s">
        <v>367</v>
      </c>
      <c r="M185" s="20">
        <v>1</v>
      </c>
      <c r="N185" s="20">
        <v>1.49</v>
      </c>
      <c r="O185" s="20">
        <f t="shared" si="31"/>
        <v>1.1174999999999999</v>
      </c>
      <c r="P185" s="20">
        <f t="shared" si="32"/>
        <v>0.25</v>
      </c>
      <c r="Q185" s="20">
        <f t="shared" si="33"/>
        <v>0.1875</v>
      </c>
      <c r="R185" s="20">
        <f t="shared" si="34"/>
        <v>0.25</v>
      </c>
      <c r="S185" s="20">
        <f t="shared" si="35"/>
        <v>0.1875</v>
      </c>
      <c r="T185" s="20">
        <f t="shared" si="36"/>
        <v>0.23</v>
      </c>
      <c r="U185" s="20">
        <f t="shared" si="39"/>
        <v>5.1174999999999997</v>
      </c>
      <c r="V185" s="21">
        <f t="shared" si="42"/>
        <v>0.55874999999999997</v>
      </c>
      <c r="W185" s="21">
        <f t="shared" si="37"/>
        <v>1.1637499999999998</v>
      </c>
      <c r="X185" s="21">
        <f t="shared" si="40"/>
        <v>1.0473749999999997</v>
      </c>
      <c r="Y185" s="20">
        <f t="shared" si="43"/>
        <v>2.5587499999999999</v>
      </c>
      <c r="Z185" s="20">
        <f t="shared" si="38"/>
        <v>3.1637499999999998</v>
      </c>
      <c r="AA185" s="20">
        <f t="shared" si="41"/>
        <v>2.847375</v>
      </c>
    </row>
    <row r="186" spans="9:27" x14ac:dyDescent="0.3">
      <c r="I186" s="30">
        <v>2147</v>
      </c>
      <c r="J186" s="30" t="s">
        <v>56</v>
      </c>
      <c r="K186" s="31" t="s">
        <v>216</v>
      </c>
      <c r="L186" s="19" t="s">
        <v>367</v>
      </c>
      <c r="M186" s="20">
        <v>1</v>
      </c>
      <c r="N186" s="20">
        <v>0.93</v>
      </c>
      <c r="O186" s="20">
        <f t="shared" si="31"/>
        <v>0.69750000000000001</v>
      </c>
      <c r="P186" s="20">
        <f t="shared" si="32"/>
        <v>0.25</v>
      </c>
      <c r="Q186" s="20">
        <f t="shared" si="33"/>
        <v>0.1875</v>
      </c>
      <c r="R186" s="20">
        <f t="shared" si="34"/>
        <v>0.25</v>
      </c>
      <c r="S186" s="20">
        <f t="shared" si="35"/>
        <v>0.1875</v>
      </c>
      <c r="T186" s="20">
        <f t="shared" si="36"/>
        <v>0.23</v>
      </c>
      <c r="U186" s="20">
        <f t="shared" si="39"/>
        <v>4.6974999999999998</v>
      </c>
      <c r="V186" s="21">
        <f t="shared" si="42"/>
        <v>0.34875</v>
      </c>
      <c r="W186" s="21">
        <f t="shared" si="37"/>
        <v>0.95374999999999999</v>
      </c>
      <c r="X186" s="21">
        <f t="shared" si="40"/>
        <v>0.85837500000000011</v>
      </c>
      <c r="Y186" s="20">
        <f t="shared" si="43"/>
        <v>2.3487499999999999</v>
      </c>
      <c r="Z186" s="20">
        <f t="shared" si="38"/>
        <v>2.9537499999999999</v>
      </c>
      <c r="AA186" s="20">
        <f t="shared" si="41"/>
        <v>2.6583749999999999</v>
      </c>
    </row>
    <row r="187" spans="9:27" ht="57.6" x14ac:dyDescent="0.3">
      <c r="I187" s="32">
        <v>2148</v>
      </c>
      <c r="J187" s="32" t="s">
        <v>56</v>
      </c>
      <c r="K187" s="33" t="s">
        <v>217</v>
      </c>
      <c r="L187" s="22" t="s">
        <v>368</v>
      </c>
      <c r="M187" s="20">
        <v>3</v>
      </c>
      <c r="N187" s="20">
        <v>1.94</v>
      </c>
      <c r="O187" s="20">
        <f t="shared" si="31"/>
        <v>2.4249999999999998</v>
      </c>
      <c r="P187" s="20">
        <f t="shared" si="32"/>
        <v>0.25</v>
      </c>
      <c r="Q187" s="20">
        <f t="shared" si="33"/>
        <v>0.3125</v>
      </c>
      <c r="R187" s="20">
        <f t="shared" si="34"/>
        <v>0.25</v>
      </c>
      <c r="S187" s="20">
        <f t="shared" si="35"/>
        <v>0.3125</v>
      </c>
      <c r="T187" s="20">
        <f t="shared" si="36"/>
        <v>0.23</v>
      </c>
      <c r="U187" s="20">
        <f t="shared" si="39"/>
        <v>6.4249999999999998</v>
      </c>
      <c r="V187" s="21">
        <f t="shared" si="42"/>
        <v>1.2124999999999999</v>
      </c>
      <c r="W187" s="21">
        <f t="shared" si="37"/>
        <v>2.0674999999999999</v>
      </c>
      <c r="X187" s="21">
        <f t="shared" si="40"/>
        <v>1.8607499999999999</v>
      </c>
      <c r="Y187" s="20">
        <f t="shared" si="43"/>
        <v>3.2124999999999999</v>
      </c>
      <c r="Z187" s="20">
        <f t="shared" si="38"/>
        <v>4.0674999999999999</v>
      </c>
      <c r="AA187" s="20">
        <f t="shared" si="41"/>
        <v>3.6607499999999997</v>
      </c>
    </row>
    <row r="188" spans="9:27" x14ac:dyDescent="0.3">
      <c r="I188" s="32">
        <v>2149</v>
      </c>
      <c r="J188" s="32" t="s">
        <v>56</v>
      </c>
      <c r="K188" s="33" t="s">
        <v>218</v>
      </c>
      <c r="L188" s="22" t="s">
        <v>370</v>
      </c>
      <c r="M188" s="20">
        <v>2</v>
      </c>
      <c r="N188" s="20">
        <v>2.87</v>
      </c>
      <c r="O188" s="20">
        <f t="shared" si="31"/>
        <v>2.5830000000000002</v>
      </c>
      <c r="P188" s="20">
        <f t="shared" si="32"/>
        <v>0.25</v>
      </c>
      <c r="Q188" s="20">
        <f t="shared" si="33"/>
        <v>0.22500000000000001</v>
      </c>
      <c r="R188" s="20">
        <f t="shared" si="34"/>
        <v>0.25</v>
      </c>
      <c r="S188" s="20">
        <f t="shared" si="35"/>
        <v>0.22500000000000001</v>
      </c>
      <c r="T188" s="20">
        <f t="shared" si="36"/>
        <v>0.23</v>
      </c>
      <c r="U188" s="20">
        <f t="shared" si="39"/>
        <v>6.5830000000000002</v>
      </c>
      <c r="V188" s="21">
        <f t="shared" si="42"/>
        <v>1.2915000000000001</v>
      </c>
      <c r="W188" s="21">
        <f t="shared" si="37"/>
        <v>1.9715000000000003</v>
      </c>
      <c r="X188" s="21">
        <f t="shared" si="40"/>
        <v>1.7743500000000003</v>
      </c>
      <c r="Y188" s="20">
        <f t="shared" si="43"/>
        <v>3.2914999999999996</v>
      </c>
      <c r="Z188" s="20">
        <f t="shared" si="38"/>
        <v>3.9714999999999998</v>
      </c>
      <c r="AA188" s="20">
        <f t="shared" si="41"/>
        <v>3.5743499999999999</v>
      </c>
    </row>
    <row r="189" spans="9:27" x14ac:dyDescent="0.3">
      <c r="I189" s="32">
        <v>2150</v>
      </c>
      <c r="J189" s="32" t="s">
        <v>56</v>
      </c>
      <c r="K189" s="33" t="s">
        <v>219</v>
      </c>
      <c r="L189" s="22" t="s">
        <v>370</v>
      </c>
      <c r="M189" s="20">
        <v>2</v>
      </c>
      <c r="N189" s="20">
        <v>0.8</v>
      </c>
      <c r="O189" s="20">
        <f t="shared" si="31"/>
        <v>0.72</v>
      </c>
      <c r="P189" s="20">
        <f t="shared" si="32"/>
        <v>0.25</v>
      </c>
      <c r="Q189" s="20">
        <f t="shared" si="33"/>
        <v>0.22500000000000001</v>
      </c>
      <c r="R189" s="20">
        <f t="shared" si="34"/>
        <v>0.25</v>
      </c>
      <c r="S189" s="20">
        <f t="shared" si="35"/>
        <v>0.22500000000000001</v>
      </c>
      <c r="T189" s="20">
        <f t="shared" si="36"/>
        <v>0.23</v>
      </c>
      <c r="U189" s="20">
        <f t="shared" si="39"/>
        <v>4.72</v>
      </c>
      <c r="V189" s="21">
        <f t="shared" si="42"/>
        <v>0.36</v>
      </c>
      <c r="W189" s="21">
        <f t="shared" si="37"/>
        <v>1.04</v>
      </c>
      <c r="X189" s="21">
        <f t="shared" si="40"/>
        <v>0.93600000000000005</v>
      </c>
      <c r="Y189" s="20">
        <f t="shared" si="43"/>
        <v>2.36</v>
      </c>
      <c r="Z189" s="20">
        <f t="shared" si="38"/>
        <v>3.04</v>
      </c>
      <c r="AA189" s="20">
        <f t="shared" si="41"/>
        <v>2.7360000000000002</v>
      </c>
    </row>
    <row r="190" spans="9:27" ht="28.8" x14ac:dyDescent="0.3">
      <c r="I190" s="30">
        <v>2151</v>
      </c>
      <c r="J190" s="30" t="s">
        <v>56</v>
      </c>
      <c r="K190" s="31" t="s">
        <v>220</v>
      </c>
      <c r="L190" s="19" t="s">
        <v>367</v>
      </c>
      <c r="M190" s="20">
        <v>1</v>
      </c>
      <c r="N190" s="20">
        <v>0.36</v>
      </c>
      <c r="O190" s="20">
        <f t="shared" si="31"/>
        <v>0.27</v>
      </c>
      <c r="P190" s="20">
        <f t="shared" si="32"/>
        <v>0.25</v>
      </c>
      <c r="Q190" s="20">
        <f t="shared" si="33"/>
        <v>0.1875</v>
      </c>
      <c r="R190" s="20">
        <f t="shared" si="34"/>
        <v>0.25</v>
      </c>
      <c r="S190" s="20">
        <f t="shared" si="35"/>
        <v>0.1875</v>
      </c>
      <c r="T190" s="20">
        <f t="shared" si="36"/>
        <v>0.23</v>
      </c>
      <c r="U190" s="20">
        <f t="shared" si="39"/>
        <v>4.2699999999999996</v>
      </c>
      <c r="V190" s="21">
        <f t="shared" si="42"/>
        <v>0.13500000000000001</v>
      </c>
      <c r="W190" s="21">
        <f t="shared" si="37"/>
        <v>0.74</v>
      </c>
      <c r="X190" s="21">
        <f t="shared" si="40"/>
        <v>0.66599999999999993</v>
      </c>
      <c r="Y190" s="20">
        <f t="shared" si="43"/>
        <v>2.1349999999999998</v>
      </c>
      <c r="Z190" s="20">
        <f t="shared" si="38"/>
        <v>2.7399999999999998</v>
      </c>
      <c r="AA190" s="20">
        <f t="shared" si="41"/>
        <v>2.4659999999999997</v>
      </c>
    </row>
    <row r="191" spans="9:27" x14ac:dyDescent="0.3">
      <c r="I191" s="30">
        <v>2152</v>
      </c>
      <c r="J191" s="30" t="s">
        <v>56</v>
      </c>
      <c r="K191" s="31" t="s">
        <v>221</v>
      </c>
      <c r="L191" s="19" t="s">
        <v>367</v>
      </c>
      <c r="M191" s="20">
        <v>1</v>
      </c>
      <c r="N191" s="20">
        <v>0.59</v>
      </c>
      <c r="O191" s="20">
        <f t="shared" ref="O191:O254" si="44">IF(M191=1,(N191-(N191*0.25)),IF(M191=2,(N191-(N191*0.1)),IF(M191=3,(N191+(N191*0.25)),IF(M191=4,(N191+(N191*1.6)),0))))</f>
        <v>0.4425</v>
      </c>
      <c r="P191" s="20">
        <f t="shared" ref="P191:P254" si="45">IF(J191="III",0.15,IF(J191="IV",0.25,IF(J191="V",0.25,IF(J191="VII",0.25,0))))</f>
        <v>0.25</v>
      </c>
      <c r="Q191" s="20">
        <f t="shared" ref="Q191:Q254" si="46">IF(M191=1,(P191-(P191*0.25)),IF(M191=2,(P191-(P191*0.1)),IF(M191=3,(P191+(P191*0.25)),IF(M191=4,(P191+(P191*1.6)),0))))</f>
        <v>0.1875</v>
      </c>
      <c r="R191" s="20">
        <f t="shared" ref="R191:R254" si="47">IF(J191="III",(IF($C$4="Zone 1",0.25,IF($C$4="Zone 2",0.15,(IF($C$4="Zone 3",0.1,0.05))))), (IF($C$4="Zone 1",0.5,IF($C$4="Zone 2",0.25,(IF($C$4="Zone 3",0.1,0.05))))))</f>
        <v>0.25</v>
      </c>
      <c r="S191" s="20">
        <f t="shared" ref="S191:S254" si="48">IF(M191=1,(R191-(R191*0.25)),IF(M191=2,(R191-(R191*0.1)),IF(M191=3,(R191+(R191*0.25)),IF(M191=4,(R191+(R191*1.6)),0))))</f>
        <v>0.1875</v>
      </c>
      <c r="T191" s="20">
        <f t="shared" ref="T191:T254" si="49">IF(J191="III",0.15,0.23)</f>
        <v>0.23</v>
      </c>
      <c r="U191" s="20">
        <f t="shared" si="39"/>
        <v>4.4424999999999999</v>
      </c>
      <c r="V191" s="21">
        <f t="shared" si="42"/>
        <v>0.22125</v>
      </c>
      <c r="W191" s="21">
        <f t="shared" ref="W191:W254" si="50">V191+T191+S191+Q191</f>
        <v>0.82625000000000004</v>
      </c>
      <c r="X191" s="21">
        <f t="shared" si="40"/>
        <v>0.74362499999999998</v>
      </c>
      <c r="Y191" s="20">
        <f t="shared" si="43"/>
        <v>2.2212499999999999</v>
      </c>
      <c r="Z191" s="20">
        <f t="shared" ref="Z191:Z254" si="51">Y191+Q191+S191+T191</f>
        <v>2.8262499999999999</v>
      </c>
      <c r="AA191" s="20">
        <f t="shared" si="41"/>
        <v>2.543625</v>
      </c>
    </row>
    <row r="192" spans="9:27" x14ac:dyDescent="0.3">
      <c r="I192" s="30">
        <v>2155</v>
      </c>
      <c r="J192" s="30" t="s">
        <v>56</v>
      </c>
      <c r="K192" s="31" t="s">
        <v>222</v>
      </c>
      <c r="L192" s="19" t="s">
        <v>367</v>
      </c>
      <c r="M192" s="20">
        <v>1</v>
      </c>
      <c r="N192" s="20">
        <v>2.6</v>
      </c>
      <c r="O192" s="20">
        <f t="shared" si="44"/>
        <v>1.9500000000000002</v>
      </c>
      <c r="P192" s="20">
        <f t="shared" si="45"/>
        <v>0.25</v>
      </c>
      <c r="Q192" s="20">
        <f t="shared" si="46"/>
        <v>0.1875</v>
      </c>
      <c r="R192" s="20">
        <f t="shared" si="47"/>
        <v>0.25</v>
      </c>
      <c r="S192" s="20">
        <f t="shared" si="48"/>
        <v>0.1875</v>
      </c>
      <c r="T192" s="20">
        <f t="shared" si="49"/>
        <v>0.23</v>
      </c>
      <c r="U192" s="20">
        <f t="shared" ref="U192:U255" si="52">O192+4</f>
        <v>5.95</v>
      </c>
      <c r="V192" s="21">
        <f t="shared" si="42"/>
        <v>0.97500000000000009</v>
      </c>
      <c r="W192" s="21">
        <f t="shared" si="50"/>
        <v>1.58</v>
      </c>
      <c r="X192" s="21">
        <f t="shared" ref="X192:X255" si="53">IF($C$30&gt;0,W192*(100-$C$30)/100,W192)</f>
        <v>1.4220000000000002</v>
      </c>
      <c r="Y192" s="20">
        <f t="shared" si="43"/>
        <v>2.9750000000000001</v>
      </c>
      <c r="Z192" s="20">
        <f t="shared" si="51"/>
        <v>3.58</v>
      </c>
      <c r="AA192" s="20">
        <f t="shared" ref="AA192:AA255" si="54">IF($C$30&gt;0,Z192*(100-$C$30)/100,Z192)</f>
        <v>3.222</v>
      </c>
    </row>
    <row r="193" spans="9:27" x14ac:dyDescent="0.3">
      <c r="I193" s="30">
        <v>2153</v>
      </c>
      <c r="J193" s="30" t="s">
        <v>56</v>
      </c>
      <c r="K193" s="31" t="s">
        <v>223</v>
      </c>
      <c r="L193" s="19" t="s">
        <v>367</v>
      </c>
      <c r="M193" s="20">
        <v>1</v>
      </c>
      <c r="N193" s="20">
        <v>5.89</v>
      </c>
      <c r="O193" s="20">
        <f t="shared" si="44"/>
        <v>4.4174999999999995</v>
      </c>
      <c r="P193" s="20">
        <f t="shared" si="45"/>
        <v>0.25</v>
      </c>
      <c r="Q193" s="20">
        <f t="shared" si="46"/>
        <v>0.1875</v>
      </c>
      <c r="R193" s="20">
        <f t="shared" si="47"/>
        <v>0.25</v>
      </c>
      <c r="S193" s="20">
        <f t="shared" si="48"/>
        <v>0.1875</v>
      </c>
      <c r="T193" s="20">
        <f t="shared" si="49"/>
        <v>0.23</v>
      </c>
      <c r="U193" s="20">
        <f t="shared" si="52"/>
        <v>8.4175000000000004</v>
      </c>
      <c r="V193" s="21">
        <f t="shared" si="42"/>
        <v>2.2087499999999998</v>
      </c>
      <c r="W193" s="21">
        <f t="shared" si="50"/>
        <v>2.8137499999999998</v>
      </c>
      <c r="X193" s="21">
        <f t="shared" si="53"/>
        <v>2.532375</v>
      </c>
      <c r="Y193" s="20">
        <f t="shared" si="43"/>
        <v>4.2087500000000002</v>
      </c>
      <c r="Z193" s="20">
        <f t="shared" si="51"/>
        <v>4.8137500000000006</v>
      </c>
      <c r="AA193" s="20">
        <f t="shared" si="54"/>
        <v>4.3323750000000008</v>
      </c>
    </row>
    <row r="194" spans="9:27" x14ac:dyDescent="0.3">
      <c r="I194" s="30">
        <v>2154</v>
      </c>
      <c r="J194" s="30" t="s">
        <v>56</v>
      </c>
      <c r="K194" s="31" t="s">
        <v>224</v>
      </c>
      <c r="L194" s="19" t="s">
        <v>367</v>
      </c>
      <c r="M194" s="20">
        <v>1</v>
      </c>
      <c r="N194" s="20">
        <v>2.86</v>
      </c>
      <c r="O194" s="20">
        <f t="shared" si="44"/>
        <v>2.145</v>
      </c>
      <c r="P194" s="20">
        <f t="shared" si="45"/>
        <v>0.25</v>
      </c>
      <c r="Q194" s="20">
        <f t="shared" si="46"/>
        <v>0.1875</v>
      </c>
      <c r="R194" s="20">
        <f t="shared" si="47"/>
        <v>0.25</v>
      </c>
      <c r="S194" s="20">
        <f t="shared" si="48"/>
        <v>0.1875</v>
      </c>
      <c r="T194" s="20">
        <f t="shared" si="49"/>
        <v>0.23</v>
      </c>
      <c r="U194" s="20">
        <f t="shared" si="52"/>
        <v>6.1449999999999996</v>
      </c>
      <c r="V194" s="21">
        <f t="shared" si="42"/>
        <v>1.0725</v>
      </c>
      <c r="W194" s="21">
        <f t="shared" si="50"/>
        <v>1.6775</v>
      </c>
      <c r="X194" s="21">
        <f t="shared" si="53"/>
        <v>1.5097499999999999</v>
      </c>
      <c r="Y194" s="20">
        <f t="shared" si="43"/>
        <v>3.0724999999999998</v>
      </c>
      <c r="Z194" s="20">
        <f t="shared" si="51"/>
        <v>3.6774999999999998</v>
      </c>
      <c r="AA194" s="20">
        <f t="shared" si="54"/>
        <v>3.3097499999999997</v>
      </c>
    </row>
    <row r="195" spans="9:27" x14ac:dyDescent="0.3">
      <c r="I195" s="30">
        <v>2156</v>
      </c>
      <c r="J195" s="30" t="s">
        <v>56</v>
      </c>
      <c r="K195" s="31" t="s">
        <v>225</v>
      </c>
      <c r="L195" s="19" t="s">
        <v>367</v>
      </c>
      <c r="M195" s="20">
        <v>1</v>
      </c>
      <c r="N195" s="20">
        <v>1.36</v>
      </c>
      <c r="O195" s="20">
        <f t="shared" si="44"/>
        <v>1.02</v>
      </c>
      <c r="P195" s="20">
        <f t="shared" si="45"/>
        <v>0.25</v>
      </c>
      <c r="Q195" s="20">
        <f t="shared" si="46"/>
        <v>0.1875</v>
      </c>
      <c r="R195" s="20">
        <f t="shared" si="47"/>
        <v>0.25</v>
      </c>
      <c r="S195" s="20">
        <f t="shared" si="48"/>
        <v>0.1875</v>
      </c>
      <c r="T195" s="20">
        <f t="shared" si="49"/>
        <v>0.23</v>
      </c>
      <c r="U195" s="20">
        <f t="shared" si="52"/>
        <v>5.0199999999999996</v>
      </c>
      <c r="V195" s="21">
        <f t="shared" si="42"/>
        <v>0.51</v>
      </c>
      <c r="W195" s="21">
        <f t="shared" si="50"/>
        <v>1.115</v>
      </c>
      <c r="X195" s="21">
        <f t="shared" si="53"/>
        <v>1.0034999999999998</v>
      </c>
      <c r="Y195" s="20">
        <f t="shared" si="43"/>
        <v>2.5099999999999998</v>
      </c>
      <c r="Z195" s="20">
        <f t="shared" si="51"/>
        <v>3.1149999999999998</v>
      </c>
      <c r="AA195" s="20">
        <f t="shared" si="54"/>
        <v>2.8034999999999997</v>
      </c>
    </row>
    <row r="196" spans="9:27" x14ac:dyDescent="0.3">
      <c r="I196" s="32">
        <v>2157</v>
      </c>
      <c r="J196" s="32" t="s">
        <v>56</v>
      </c>
      <c r="K196" s="33" t="s">
        <v>226</v>
      </c>
      <c r="L196" s="22" t="s">
        <v>369</v>
      </c>
      <c r="M196" s="20">
        <v>4</v>
      </c>
      <c r="N196" s="20">
        <v>1.88</v>
      </c>
      <c r="O196" s="20">
        <f t="shared" si="44"/>
        <v>4.8879999999999999</v>
      </c>
      <c r="P196" s="20">
        <f t="shared" si="45"/>
        <v>0.25</v>
      </c>
      <c r="Q196" s="20">
        <f t="shared" si="46"/>
        <v>0.65</v>
      </c>
      <c r="R196" s="20">
        <f t="shared" si="47"/>
        <v>0.25</v>
      </c>
      <c r="S196" s="20">
        <f t="shared" si="48"/>
        <v>0.65</v>
      </c>
      <c r="T196" s="20">
        <f t="shared" si="49"/>
        <v>0.23</v>
      </c>
      <c r="U196" s="20">
        <f t="shared" si="52"/>
        <v>8.8879999999999999</v>
      </c>
      <c r="V196" s="21">
        <f t="shared" si="42"/>
        <v>2.444</v>
      </c>
      <c r="W196" s="21">
        <f t="shared" si="50"/>
        <v>3.9739999999999998</v>
      </c>
      <c r="X196" s="21">
        <f t="shared" si="53"/>
        <v>3.5765999999999996</v>
      </c>
      <c r="Y196" s="20">
        <f t="shared" si="43"/>
        <v>4.444</v>
      </c>
      <c r="Z196" s="20">
        <f t="shared" si="51"/>
        <v>5.9740000000000011</v>
      </c>
      <c r="AA196" s="20">
        <f t="shared" si="54"/>
        <v>5.3766000000000007</v>
      </c>
    </row>
    <row r="197" spans="9:27" x14ac:dyDescent="0.3">
      <c r="I197" s="30">
        <v>2158</v>
      </c>
      <c r="J197" s="30" t="s">
        <v>56</v>
      </c>
      <c r="K197" s="31" t="s">
        <v>227</v>
      </c>
      <c r="L197" s="19" t="s">
        <v>367</v>
      </c>
      <c r="M197" s="20">
        <v>1</v>
      </c>
      <c r="N197" s="20">
        <v>1.18</v>
      </c>
      <c r="O197" s="20">
        <f t="shared" si="44"/>
        <v>0.88500000000000001</v>
      </c>
      <c r="P197" s="20">
        <f t="shared" si="45"/>
        <v>0.25</v>
      </c>
      <c r="Q197" s="20">
        <f t="shared" si="46"/>
        <v>0.1875</v>
      </c>
      <c r="R197" s="20">
        <f t="shared" si="47"/>
        <v>0.25</v>
      </c>
      <c r="S197" s="20">
        <f t="shared" si="48"/>
        <v>0.1875</v>
      </c>
      <c r="T197" s="20">
        <f t="shared" si="49"/>
        <v>0.23</v>
      </c>
      <c r="U197" s="20">
        <f t="shared" si="52"/>
        <v>4.8849999999999998</v>
      </c>
      <c r="V197" s="21">
        <f t="shared" si="42"/>
        <v>0.4425</v>
      </c>
      <c r="W197" s="21">
        <f t="shared" si="50"/>
        <v>1.0474999999999999</v>
      </c>
      <c r="X197" s="21">
        <f t="shared" si="53"/>
        <v>0.94274999999999987</v>
      </c>
      <c r="Y197" s="20">
        <f t="shared" si="43"/>
        <v>2.4424999999999999</v>
      </c>
      <c r="Z197" s="20">
        <f t="shared" si="51"/>
        <v>3.0474999999999999</v>
      </c>
      <c r="AA197" s="20">
        <f t="shared" si="54"/>
        <v>2.7427499999999996</v>
      </c>
    </row>
    <row r="198" spans="9:27" x14ac:dyDescent="0.3">
      <c r="I198" s="30">
        <v>2159</v>
      </c>
      <c r="J198" s="30" t="s">
        <v>56</v>
      </c>
      <c r="K198" s="31" t="s">
        <v>228</v>
      </c>
      <c r="L198" s="19" t="s">
        <v>367</v>
      </c>
      <c r="M198" s="20">
        <v>1</v>
      </c>
      <c r="N198" s="20">
        <v>0.47</v>
      </c>
      <c r="O198" s="20">
        <f t="shared" si="44"/>
        <v>0.35249999999999998</v>
      </c>
      <c r="P198" s="20">
        <f t="shared" si="45"/>
        <v>0.25</v>
      </c>
      <c r="Q198" s="20">
        <f t="shared" si="46"/>
        <v>0.1875</v>
      </c>
      <c r="R198" s="20">
        <f t="shared" si="47"/>
        <v>0.25</v>
      </c>
      <c r="S198" s="20">
        <f t="shared" si="48"/>
        <v>0.1875</v>
      </c>
      <c r="T198" s="20">
        <f t="shared" si="49"/>
        <v>0.23</v>
      </c>
      <c r="U198" s="20">
        <f t="shared" si="52"/>
        <v>4.3525</v>
      </c>
      <c r="V198" s="21">
        <f t="shared" si="42"/>
        <v>0.17624999999999999</v>
      </c>
      <c r="W198" s="21">
        <f t="shared" si="50"/>
        <v>0.78125</v>
      </c>
      <c r="X198" s="21">
        <f t="shared" si="53"/>
        <v>0.703125</v>
      </c>
      <c r="Y198" s="20">
        <f t="shared" si="43"/>
        <v>2.17625</v>
      </c>
      <c r="Z198" s="20">
        <f t="shared" si="51"/>
        <v>2.78125</v>
      </c>
      <c r="AA198" s="20">
        <f t="shared" si="54"/>
        <v>2.5031249999999998</v>
      </c>
    </row>
    <row r="199" spans="9:27" x14ac:dyDescent="0.3">
      <c r="I199" s="30">
        <v>2160</v>
      </c>
      <c r="J199" s="30" t="s">
        <v>56</v>
      </c>
      <c r="K199" s="31" t="s">
        <v>229</v>
      </c>
      <c r="L199" s="19" t="s">
        <v>367</v>
      </c>
      <c r="M199" s="20">
        <v>1</v>
      </c>
      <c r="N199" s="20">
        <v>1.36</v>
      </c>
      <c r="O199" s="20">
        <f t="shared" si="44"/>
        <v>1.02</v>
      </c>
      <c r="P199" s="20">
        <f t="shared" si="45"/>
        <v>0.25</v>
      </c>
      <c r="Q199" s="20">
        <f t="shared" si="46"/>
        <v>0.1875</v>
      </c>
      <c r="R199" s="20">
        <f t="shared" si="47"/>
        <v>0.25</v>
      </c>
      <c r="S199" s="20">
        <f t="shared" si="48"/>
        <v>0.1875</v>
      </c>
      <c r="T199" s="20">
        <f t="shared" si="49"/>
        <v>0.23</v>
      </c>
      <c r="U199" s="20">
        <f t="shared" si="52"/>
        <v>5.0199999999999996</v>
      </c>
      <c r="V199" s="21">
        <f t="shared" si="42"/>
        <v>0.51</v>
      </c>
      <c r="W199" s="21">
        <f t="shared" si="50"/>
        <v>1.115</v>
      </c>
      <c r="X199" s="21">
        <f t="shared" si="53"/>
        <v>1.0034999999999998</v>
      </c>
      <c r="Y199" s="20">
        <f t="shared" si="43"/>
        <v>2.5099999999999998</v>
      </c>
      <c r="Z199" s="20">
        <f t="shared" si="51"/>
        <v>3.1149999999999998</v>
      </c>
      <c r="AA199" s="20">
        <f t="shared" si="54"/>
        <v>2.8034999999999997</v>
      </c>
    </row>
    <row r="200" spans="9:27" x14ac:dyDescent="0.3">
      <c r="I200" s="30">
        <v>2161</v>
      </c>
      <c r="J200" s="30" t="s">
        <v>56</v>
      </c>
      <c r="K200" s="31" t="s">
        <v>230</v>
      </c>
      <c r="L200" s="19" t="s">
        <v>367</v>
      </c>
      <c r="M200" s="20">
        <v>1</v>
      </c>
      <c r="N200" s="20">
        <v>0.88</v>
      </c>
      <c r="O200" s="20">
        <f t="shared" si="44"/>
        <v>0.66</v>
      </c>
      <c r="P200" s="20">
        <f t="shared" si="45"/>
        <v>0.25</v>
      </c>
      <c r="Q200" s="20">
        <f t="shared" si="46"/>
        <v>0.1875</v>
      </c>
      <c r="R200" s="20">
        <f t="shared" si="47"/>
        <v>0.25</v>
      </c>
      <c r="S200" s="20">
        <f t="shared" si="48"/>
        <v>0.1875</v>
      </c>
      <c r="T200" s="20">
        <f t="shared" si="49"/>
        <v>0.23</v>
      </c>
      <c r="U200" s="20">
        <f t="shared" si="52"/>
        <v>4.66</v>
      </c>
      <c r="V200" s="21">
        <f t="shared" si="42"/>
        <v>0.33</v>
      </c>
      <c r="W200" s="21">
        <f t="shared" si="50"/>
        <v>0.93500000000000005</v>
      </c>
      <c r="X200" s="21">
        <f t="shared" si="53"/>
        <v>0.84150000000000003</v>
      </c>
      <c r="Y200" s="20">
        <f t="shared" si="43"/>
        <v>2.33</v>
      </c>
      <c r="Z200" s="20">
        <f t="shared" si="51"/>
        <v>2.9350000000000001</v>
      </c>
      <c r="AA200" s="20">
        <f t="shared" si="54"/>
        <v>2.6414999999999997</v>
      </c>
    </row>
    <row r="201" spans="9:27" x14ac:dyDescent="0.3">
      <c r="I201" s="30">
        <v>2162</v>
      </c>
      <c r="J201" s="30" t="s">
        <v>56</v>
      </c>
      <c r="K201" s="31" t="s">
        <v>231</v>
      </c>
      <c r="L201" s="19" t="s">
        <v>367</v>
      </c>
      <c r="M201" s="20">
        <v>1</v>
      </c>
      <c r="N201" s="20">
        <v>1.01</v>
      </c>
      <c r="O201" s="20">
        <f t="shared" si="44"/>
        <v>0.75750000000000006</v>
      </c>
      <c r="P201" s="20">
        <f t="shared" si="45"/>
        <v>0.25</v>
      </c>
      <c r="Q201" s="20">
        <f t="shared" si="46"/>
        <v>0.1875</v>
      </c>
      <c r="R201" s="20">
        <f t="shared" si="47"/>
        <v>0.25</v>
      </c>
      <c r="S201" s="20">
        <f t="shared" si="48"/>
        <v>0.1875</v>
      </c>
      <c r="T201" s="20">
        <f t="shared" si="49"/>
        <v>0.23</v>
      </c>
      <c r="U201" s="20">
        <f t="shared" si="52"/>
        <v>4.7575000000000003</v>
      </c>
      <c r="V201" s="21">
        <f t="shared" si="42"/>
        <v>0.37875000000000009</v>
      </c>
      <c r="W201" s="21">
        <f t="shared" si="50"/>
        <v>0.98375000000000012</v>
      </c>
      <c r="X201" s="21">
        <f t="shared" si="53"/>
        <v>0.88537500000000013</v>
      </c>
      <c r="Y201" s="20">
        <f t="shared" si="43"/>
        <v>2.3787500000000001</v>
      </c>
      <c r="Z201" s="20">
        <f t="shared" si="51"/>
        <v>2.9837500000000001</v>
      </c>
      <c r="AA201" s="20">
        <f t="shared" si="54"/>
        <v>2.6853750000000001</v>
      </c>
    </row>
    <row r="202" spans="9:27" ht="28.8" x14ac:dyDescent="0.3">
      <c r="I202" s="30">
        <v>2163</v>
      </c>
      <c r="J202" s="30" t="s">
        <v>56</v>
      </c>
      <c r="K202" s="31" t="s">
        <v>232</v>
      </c>
      <c r="L202" s="19" t="s">
        <v>367</v>
      </c>
      <c r="M202" s="20">
        <v>1</v>
      </c>
      <c r="N202" s="20">
        <v>1.1399999999999999</v>
      </c>
      <c r="O202" s="20">
        <f t="shared" si="44"/>
        <v>0.85499999999999998</v>
      </c>
      <c r="P202" s="20">
        <f t="shared" si="45"/>
        <v>0.25</v>
      </c>
      <c r="Q202" s="20">
        <f t="shared" si="46"/>
        <v>0.1875</v>
      </c>
      <c r="R202" s="20">
        <f t="shared" si="47"/>
        <v>0.25</v>
      </c>
      <c r="S202" s="20">
        <f t="shared" si="48"/>
        <v>0.1875</v>
      </c>
      <c r="T202" s="20">
        <f t="shared" si="49"/>
        <v>0.23</v>
      </c>
      <c r="U202" s="20">
        <f t="shared" si="52"/>
        <v>4.8550000000000004</v>
      </c>
      <c r="V202" s="21">
        <f t="shared" si="42"/>
        <v>0.42749999999999999</v>
      </c>
      <c r="W202" s="21">
        <f t="shared" si="50"/>
        <v>1.0325</v>
      </c>
      <c r="X202" s="21">
        <f t="shared" si="53"/>
        <v>0.92925000000000002</v>
      </c>
      <c r="Y202" s="20">
        <f t="shared" si="43"/>
        <v>2.4275000000000002</v>
      </c>
      <c r="Z202" s="20">
        <f t="shared" si="51"/>
        <v>3.0325000000000002</v>
      </c>
      <c r="AA202" s="20">
        <f t="shared" si="54"/>
        <v>2.72925</v>
      </c>
    </row>
    <row r="203" spans="9:27" x14ac:dyDescent="0.3">
      <c r="I203" s="30">
        <v>2164</v>
      </c>
      <c r="J203" s="30" t="s">
        <v>56</v>
      </c>
      <c r="K203" s="31" t="s">
        <v>233</v>
      </c>
      <c r="L203" s="19" t="s">
        <v>367</v>
      </c>
      <c r="M203" s="20">
        <v>1</v>
      </c>
      <c r="N203" s="20">
        <v>0.69</v>
      </c>
      <c r="O203" s="20">
        <f t="shared" si="44"/>
        <v>0.51749999999999996</v>
      </c>
      <c r="P203" s="20">
        <f t="shared" si="45"/>
        <v>0.25</v>
      </c>
      <c r="Q203" s="20">
        <f t="shared" si="46"/>
        <v>0.1875</v>
      </c>
      <c r="R203" s="20">
        <f t="shared" si="47"/>
        <v>0.25</v>
      </c>
      <c r="S203" s="20">
        <f t="shared" si="48"/>
        <v>0.1875</v>
      </c>
      <c r="T203" s="20">
        <f t="shared" si="49"/>
        <v>0.23</v>
      </c>
      <c r="U203" s="20">
        <f t="shared" si="52"/>
        <v>4.5175000000000001</v>
      </c>
      <c r="V203" s="21">
        <f t="shared" si="42"/>
        <v>0.25874999999999998</v>
      </c>
      <c r="W203" s="21">
        <f t="shared" si="50"/>
        <v>0.86375000000000002</v>
      </c>
      <c r="X203" s="21">
        <f t="shared" si="53"/>
        <v>0.77737499999999993</v>
      </c>
      <c r="Y203" s="20">
        <f t="shared" si="43"/>
        <v>2.25875</v>
      </c>
      <c r="Z203" s="20">
        <f t="shared" si="51"/>
        <v>2.86375</v>
      </c>
      <c r="AA203" s="20">
        <f t="shared" si="54"/>
        <v>2.577375</v>
      </c>
    </row>
    <row r="204" spans="9:27" x14ac:dyDescent="0.3">
      <c r="I204" s="32">
        <v>2165</v>
      </c>
      <c r="J204" s="32" t="s">
        <v>56</v>
      </c>
      <c r="K204" s="33" t="s">
        <v>234</v>
      </c>
      <c r="L204" s="22" t="s">
        <v>369</v>
      </c>
      <c r="M204" s="20">
        <v>4</v>
      </c>
      <c r="N204" s="20">
        <v>1.88</v>
      </c>
      <c r="O204" s="20">
        <f t="shared" si="44"/>
        <v>4.8879999999999999</v>
      </c>
      <c r="P204" s="20">
        <f t="shared" si="45"/>
        <v>0.25</v>
      </c>
      <c r="Q204" s="20">
        <f t="shared" si="46"/>
        <v>0.65</v>
      </c>
      <c r="R204" s="20">
        <f t="shared" si="47"/>
        <v>0.25</v>
      </c>
      <c r="S204" s="20">
        <f t="shared" si="48"/>
        <v>0.65</v>
      </c>
      <c r="T204" s="20">
        <f t="shared" si="49"/>
        <v>0.23</v>
      </c>
      <c r="U204" s="20">
        <f t="shared" si="52"/>
        <v>8.8879999999999999</v>
      </c>
      <c r="V204" s="21">
        <f t="shared" si="42"/>
        <v>2.444</v>
      </c>
      <c r="W204" s="21">
        <f t="shared" si="50"/>
        <v>3.9739999999999998</v>
      </c>
      <c r="X204" s="21">
        <f t="shared" si="53"/>
        <v>3.5765999999999996</v>
      </c>
      <c r="Y204" s="20">
        <f t="shared" si="43"/>
        <v>4.444</v>
      </c>
      <c r="Z204" s="20">
        <f t="shared" si="51"/>
        <v>5.9740000000000011</v>
      </c>
      <c r="AA204" s="20">
        <f t="shared" si="54"/>
        <v>5.3766000000000007</v>
      </c>
    </row>
    <row r="205" spans="9:27" x14ac:dyDescent="0.3">
      <c r="I205" s="32">
        <v>2166</v>
      </c>
      <c r="J205" s="32" t="s">
        <v>56</v>
      </c>
      <c r="K205" s="33" t="s">
        <v>235</v>
      </c>
      <c r="L205" s="22" t="s">
        <v>369</v>
      </c>
      <c r="M205" s="20">
        <v>4</v>
      </c>
      <c r="N205" s="20">
        <v>2.2999999999999998</v>
      </c>
      <c r="O205" s="20">
        <f t="shared" si="44"/>
        <v>5.9799999999999995</v>
      </c>
      <c r="P205" s="20">
        <f t="shared" si="45"/>
        <v>0.25</v>
      </c>
      <c r="Q205" s="20">
        <f t="shared" si="46"/>
        <v>0.65</v>
      </c>
      <c r="R205" s="20">
        <f t="shared" si="47"/>
        <v>0.25</v>
      </c>
      <c r="S205" s="20">
        <f t="shared" si="48"/>
        <v>0.65</v>
      </c>
      <c r="T205" s="20">
        <f t="shared" si="49"/>
        <v>0.23</v>
      </c>
      <c r="U205" s="20">
        <f t="shared" si="52"/>
        <v>9.98</v>
      </c>
      <c r="V205" s="21">
        <f t="shared" si="42"/>
        <v>2.9899999999999993</v>
      </c>
      <c r="W205" s="21">
        <f t="shared" si="50"/>
        <v>4.5199999999999996</v>
      </c>
      <c r="X205" s="21">
        <f t="shared" si="53"/>
        <v>4.0679999999999996</v>
      </c>
      <c r="Y205" s="20">
        <f t="shared" si="43"/>
        <v>4.99</v>
      </c>
      <c r="Z205" s="20">
        <f t="shared" si="51"/>
        <v>6.5200000000000014</v>
      </c>
      <c r="AA205" s="20">
        <f t="shared" si="54"/>
        <v>5.8680000000000003</v>
      </c>
    </row>
    <row r="206" spans="9:27" x14ac:dyDescent="0.3">
      <c r="I206" s="30">
        <v>2167</v>
      </c>
      <c r="J206" s="30" t="s">
        <v>56</v>
      </c>
      <c r="K206" s="31" t="s">
        <v>236</v>
      </c>
      <c r="L206" s="19" t="s">
        <v>367</v>
      </c>
      <c r="M206" s="20">
        <v>1</v>
      </c>
      <c r="N206" s="20">
        <v>1.29</v>
      </c>
      <c r="O206" s="20">
        <f t="shared" si="44"/>
        <v>0.96750000000000003</v>
      </c>
      <c r="P206" s="20">
        <f t="shared" si="45"/>
        <v>0.25</v>
      </c>
      <c r="Q206" s="20">
        <f t="shared" si="46"/>
        <v>0.1875</v>
      </c>
      <c r="R206" s="20">
        <f t="shared" si="47"/>
        <v>0.25</v>
      </c>
      <c r="S206" s="20">
        <f t="shared" si="48"/>
        <v>0.1875</v>
      </c>
      <c r="T206" s="20">
        <f t="shared" si="49"/>
        <v>0.23</v>
      </c>
      <c r="U206" s="20">
        <f t="shared" si="52"/>
        <v>4.9675000000000002</v>
      </c>
      <c r="V206" s="21">
        <f t="shared" si="42"/>
        <v>0.48375000000000001</v>
      </c>
      <c r="W206" s="21">
        <f t="shared" si="50"/>
        <v>1.0887500000000001</v>
      </c>
      <c r="X206" s="21">
        <f t="shared" si="53"/>
        <v>0.97987500000000016</v>
      </c>
      <c r="Y206" s="20">
        <f t="shared" si="43"/>
        <v>2.4837500000000001</v>
      </c>
      <c r="Z206" s="20">
        <f t="shared" si="51"/>
        <v>3.0887500000000001</v>
      </c>
      <c r="AA206" s="20">
        <f t="shared" si="54"/>
        <v>2.7798750000000001</v>
      </c>
    </row>
    <row r="207" spans="9:27" x14ac:dyDescent="0.3">
      <c r="I207" s="30">
        <v>2168</v>
      </c>
      <c r="J207" s="30" t="s">
        <v>56</v>
      </c>
      <c r="K207" s="31" t="s">
        <v>237</v>
      </c>
      <c r="L207" s="19" t="s">
        <v>367</v>
      </c>
      <c r="M207" s="20">
        <v>1</v>
      </c>
      <c r="N207" s="20">
        <v>0.54</v>
      </c>
      <c r="O207" s="20">
        <f t="shared" si="44"/>
        <v>0.40500000000000003</v>
      </c>
      <c r="P207" s="20">
        <f t="shared" si="45"/>
        <v>0.25</v>
      </c>
      <c r="Q207" s="20">
        <f t="shared" si="46"/>
        <v>0.1875</v>
      </c>
      <c r="R207" s="20">
        <f t="shared" si="47"/>
        <v>0.25</v>
      </c>
      <c r="S207" s="20">
        <f t="shared" si="48"/>
        <v>0.1875</v>
      </c>
      <c r="T207" s="20">
        <f t="shared" si="49"/>
        <v>0.23</v>
      </c>
      <c r="U207" s="20">
        <f t="shared" si="52"/>
        <v>4.4050000000000002</v>
      </c>
      <c r="V207" s="21">
        <f t="shared" si="42"/>
        <v>0.20250000000000001</v>
      </c>
      <c r="W207" s="21">
        <f t="shared" si="50"/>
        <v>0.8075</v>
      </c>
      <c r="X207" s="21">
        <f t="shared" si="53"/>
        <v>0.72675000000000001</v>
      </c>
      <c r="Y207" s="20">
        <f t="shared" si="43"/>
        <v>2.2025000000000001</v>
      </c>
      <c r="Z207" s="20">
        <f t="shared" si="51"/>
        <v>2.8075000000000001</v>
      </c>
      <c r="AA207" s="20">
        <f t="shared" si="54"/>
        <v>2.5267500000000003</v>
      </c>
    </row>
    <row r="208" spans="9:27" ht="28.8" x14ac:dyDescent="0.3">
      <c r="I208" s="30">
        <v>2169</v>
      </c>
      <c r="J208" s="30" t="s">
        <v>56</v>
      </c>
      <c r="K208" s="31" t="s">
        <v>238</v>
      </c>
      <c r="L208" s="19" t="s">
        <v>367</v>
      </c>
      <c r="M208" s="20">
        <v>1</v>
      </c>
      <c r="N208" s="20">
        <v>3.07</v>
      </c>
      <c r="O208" s="20">
        <f t="shared" si="44"/>
        <v>2.3024999999999998</v>
      </c>
      <c r="P208" s="20">
        <f t="shared" si="45"/>
        <v>0.25</v>
      </c>
      <c r="Q208" s="20">
        <f t="shared" si="46"/>
        <v>0.1875</v>
      </c>
      <c r="R208" s="20">
        <f t="shared" si="47"/>
        <v>0.25</v>
      </c>
      <c r="S208" s="20">
        <f t="shared" si="48"/>
        <v>0.1875</v>
      </c>
      <c r="T208" s="20">
        <f t="shared" si="49"/>
        <v>0.23</v>
      </c>
      <c r="U208" s="20">
        <f t="shared" si="52"/>
        <v>6.3025000000000002</v>
      </c>
      <c r="V208" s="21">
        <f t="shared" si="42"/>
        <v>1.1512499999999999</v>
      </c>
      <c r="W208" s="21">
        <f t="shared" si="50"/>
        <v>1.7562499999999999</v>
      </c>
      <c r="X208" s="21">
        <f t="shared" si="53"/>
        <v>1.5806249999999999</v>
      </c>
      <c r="Y208" s="20">
        <f t="shared" si="43"/>
        <v>3.1512500000000001</v>
      </c>
      <c r="Z208" s="20">
        <f t="shared" si="51"/>
        <v>3.7562500000000001</v>
      </c>
      <c r="AA208" s="20">
        <f t="shared" si="54"/>
        <v>3.3806250000000002</v>
      </c>
    </row>
    <row r="209" spans="9:27" x14ac:dyDescent="0.3">
      <c r="I209" s="30">
        <v>2170</v>
      </c>
      <c r="J209" s="30" t="s">
        <v>56</v>
      </c>
      <c r="K209" s="31" t="s">
        <v>239</v>
      </c>
      <c r="L209" s="19" t="s">
        <v>367</v>
      </c>
      <c r="M209" s="20">
        <v>1</v>
      </c>
      <c r="N209" s="20">
        <v>1.01</v>
      </c>
      <c r="O209" s="20">
        <f t="shared" si="44"/>
        <v>0.75750000000000006</v>
      </c>
      <c r="P209" s="20">
        <f t="shared" si="45"/>
        <v>0.25</v>
      </c>
      <c r="Q209" s="20">
        <f t="shared" si="46"/>
        <v>0.1875</v>
      </c>
      <c r="R209" s="20">
        <f t="shared" si="47"/>
        <v>0.25</v>
      </c>
      <c r="S209" s="20">
        <f t="shared" si="48"/>
        <v>0.1875</v>
      </c>
      <c r="T209" s="20">
        <f t="shared" si="49"/>
        <v>0.23</v>
      </c>
      <c r="U209" s="20">
        <f t="shared" si="52"/>
        <v>4.7575000000000003</v>
      </c>
      <c r="V209" s="21">
        <f t="shared" si="42"/>
        <v>0.37875000000000009</v>
      </c>
      <c r="W209" s="21">
        <f t="shared" si="50"/>
        <v>0.98375000000000012</v>
      </c>
      <c r="X209" s="21">
        <f t="shared" si="53"/>
        <v>0.88537500000000013</v>
      </c>
      <c r="Y209" s="20">
        <f t="shared" si="43"/>
        <v>2.3787500000000001</v>
      </c>
      <c r="Z209" s="20">
        <f t="shared" si="51"/>
        <v>2.9837500000000001</v>
      </c>
      <c r="AA209" s="20">
        <f t="shared" si="54"/>
        <v>2.6853750000000001</v>
      </c>
    </row>
    <row r="210" spans="9:27" x14ac:dyDescent="0.3">
      <c r="I210" s="32">
        <v>2171</v>
      </c>
      <c r="J210" s="32" t="s">
        <v>56</v>
      </c>
      <c r="K210" s="33" t="s">
        <v>240</v>
      </c>
      <c r="L210" s="22" t="s">
        <v>369</v>
      </c>
      <c r="M210" s="20">
        <v>4</v>
      </c>
      <c r="N210" s="20">
        <v>0.95</v>
      </c>
      <c r="O210" s="20">
        <f t="shared" si="44"/>
        <v>2.4699999999999998</v>
      </c>
      <c r="P210" s="20">
        <f t="shared" si="45"/>
        <v>0.25</v>
      </c>
      <c r="Q210" s="20">
        <f t="shared" si="46"/>
        <v>0.65</v>
      </c>
      <c r="R210" s="20">
        <f t="shared" si="47"/>
        <v>0.25</v>
      </c>
      <c r="S210" s="20">
        <f t="shared" si="48"/>
        <v>0.65</v>
      </c>
      <c r="T210" s="20">
        <f t="shared" si="49"/>
        <v>0.23</v>
      </c>
      <c r="U210" s="20">
        <f t="shared" si="52"/>
        <v>6.47</v>
      </c>
      <c r="V210" s="21">
        <f t="shared" si="42"/>
        <v>1.2349999999999999</v>
      </c>
      <c r="W210" s="21">
        <f t="shared" si="50"/>
        <v>2.7649999999999997</v>
      </c>
      <c r="X210" s="21">
        <f t="shared" si="53"/>
        <v>2.4884999999999997</v>
      </c>
      <c r="Y210" s="20">
        <f t="shared" si="43"/>
        <v>3.2349999999999999</v>
      </c>
      <c r="Z210" s="20">
        <f t="shared" si="51"/>
        <v>4.7650000000000006</v>
      </c>
      <c r="AA210" s="20">
        <f t="shared" si="54"/>
        <v>4.2885</v>
      </c>
    </row>
    <row r="211" spans="9:27" x14ac:dyDescent="0.3">
      <c r="I211" s="30">
        <v>2230</v>
      </c>
      <c r="J211" s="30" t="s">
        <v>56</v>
      </c>
      <c r="K211" s="31" t="s">
        <v>241</v>
      </c>
      <c r="L211" s="19" t="s">
        <v>367</v>
      </c>
      <c r="M211" s="20">
        <v>1</v>
      </c>
      <c r="N211" s="20">
        <v>0.49</v>
      </c>
      <c r="O211" s="20">
        <f t="shared" si="44"/>
        <v>0.36749999999999999</v>
      </c>
      <c r="P211" s="20">
        <f t="shared" si="45"/>
        <v>0.25</v>
      </c>
      <c r="Q211" s="20">
        <f t="shared" si="46"/>
        <v>0.1875</v>
      </c>
      <c r="R211" s="20">
        <f t="shared" si="47"/>
        <v>0.25</v>
      </c>
      <c r="S211" s="20">
        <f t="shared" si="48"/>
        <v>0.1875</v>
      </c>
      <c r="T211" s="20">
        <f t="shared" si="49"/>
        <v>0.23</v>
      </c>
      <c r="U211" s="20">
        <f t="shared" si="52"/>
        <v>4.3674999999999997</v>
      </c>
      <c r="V211" s="21">
        <f t="shared" si="42"/>
        <v>0.18375</v>
      </c>
      <c r="W211" s="21">
        <f t="shared" si="50"/>
        <v>0.78875000000000006</v>
      </c>
      <c r="X211" s="21">
        <f t="shared" si="53"/>
        <v>0.70987500000000014</v>
      </c>
      <c r="Y211" s="20">
        <f t="shared" si="43"/>
        <v>2.1837499999999999</v>
      </c>
      <c r="Z211" s="20">
        <f t="shared" si="51"/>
        <v>2.7887499999999998</v>
      </c>
      <c r="AA211" s="20">
        <f t="shared" si="54"/>
        <v>2.5098749999999996</v>
      </c>
    </row>
    <row r="212" spans="9:27" x14ac:dyDescent="0.3">
      <c r="I212" s="30">
        <v>2172</v>
      </c>
      <c r="J212" s="30" t="s">
        <v>56</v>
      </c>
      <c r="K212" s="31" t="s">
        <v>242</v>
      </c>
      <c r="L212" s="19" t="s">
        <v>367</v>
      </c>
      <c r="M212" s="20">
        <v>1</v>
      </c>
      <c r="N212" s="20">
        <v>0.93</v>
      </c>
      <c r="O212" s="20">
        <f t="shared" si="44"/>
        <v>0.69750000000000001</v>
      </c>
      <c r="P212" s="20">
        <f t="shared" si="45"/>
        <v>0.25</v>
      </c>
      <c r="Q212" s="20">
        <f t="shared" si="46"/>
        <v>0.1875</v>
      </c>
      <c r="R212" s="20">
        <f t="shared" si="47"/>
        <v>0.25</v>
      </c>
      <c r="S212" s="20">
        <f t="shared" si="48"/>
        <v>0.1875</v>
      </c>
      <c r="T212" s="20">
        <f t="shared" si="49"/>
        <v>0.23</v>
      </c>
      <c r="U212" s="20">
        <f t="shared" si="52"/>
        <v>4.6974999999999998</v>
      </c>
      <c r="V212" s="21">
        <f t="shared" si="42"/>
        <v>0.34875</v>
      </c>
      <c r="W212" s="21">
        <f t="shared" si="50"/>
        <v>0.95374999999999999</v>
      </c>
      <c r="X212" s="21">
        <f t="shared" si="53"/>
        <v>0.85837500000000011</v>
      </c>
      <c r="Y212" s="20">
        <f t="shared" si="43"/>
        <v>2.3487499999999999</v>
      </c>
      <c r="Z212" s="20">
        <f t="shared" si="51"/>
        <v>2.9537499999999999</v>
      </c>
      <c r="AA212" s="20">
        <f t="shared" si="54"/>
        <v>2.6583749999999999</v>
      </c>
    </row>
    <row r="213" spans="9:27" x14ac:dyDescent="0.3">
      <c r="I213" s="32">
        <v>2173</v>
      </c>
      <c r="J213" s="32" t="s">
        <v>56</v>
      </c>
      <c r="K213" s="33" t="s">
        <v>243</v>
      </c>
      <c r="L213" s="22" t="s">
        <v>369</v>
      </c>
      <c r="M213" s="20">
        <v>4</v>
      </c>
      <c r="N213" s="20">
        <v>1.0900000000000001</v>
      </c>
      <c r="O213" s="20">
        <f t="shared" si="44"/>
        <v>2.8340000000000005</v>
      </c>
      <c r="P213" s="20">
        <f t="shared" si="45"/>
        <v>0.25</v>
      </c>
      <c r="Q213" s="20">
        <f t="shared" si="46"/>
        <v>0.65</v>
      </c>
      <c r="R213" s="20">
        <f t="shared" si="47"/>
        <v>0.25</v>
      </c>
      <c r="S213" s="20">
        <f t="shared" si="48"/>
        <v>0.65</v>
      </c>
      <c r="T213" s="20">
        <f t="shared" si="49"/>
        <v>0.23</v>
      </c>
      <c r="U213" s="20">
        <f t="shared" si="52"/>
        <v>6.8340000000000005</v>
      </c>
      <c r="V213" s="21">
        <f t="shared" si="42"/>
        <v>1.4170000000000003</v>
      </c>
      <c r="W213" s="21">
        <f t="shared" si="50"/>
        <v>2.9470000000000001</v>
      </c>
      <c r="X213" s="21">
        <f t="shared" si="53"/>
        <v>2.6523000000000003</v>
      </c>
      <c r="Y213" s="20">
        <f t="shared" si="43"/>
        <v>3.4170000000000003</v>
      </c>
      <c r="Z213" s="20">
        <f t="shared" si="51"/>
        <v>4.947000000000001</v>
      </c>
      <c r="AA213" s="20">
        <f t="shared" si="54"/>
        <v>4.452300000000001</v>
      </c>
    </row>
    <row r="214" spans="9:27" x14ac:dyDescent="0.3">
      <c r="I214" s="30">
        <v>2174</v>
      </c>
      <c r="J214" s="30" t="s">
        <v>56</v>
      </c>
      <c r="K214" s="31" t="s">
        <v>244</v>
      </c>
      <c r="L214" s="19" t="s">
        <v>367</v>
      </c>
      <c r="M214" s="20">
        <v>1</v>
      </c>
      <c r="N214" s="20">
        <v>1.02</v>
      </c>
      <c r="O214" s="20">
        <f t="shared" si="44"/>
        <v>0.76500000000000001</v>
      </c>
      <c r="P214" s="20">
        <f t="shared" si="45"/>
        <v>0.25</v>
      </c>
      <c r="Q214" s="20">
        <f t="shared" si="46"/>
        <v>0.1875</v>
      </c>
      <c r="R214" s="20">
        <f t="shared" si="47"/>
        <v>0.25</v>
      </c>
      <c r="S214" s="20">
        <f t="shared" si="48"/>
        <v>0.1875</v>
      </c>
      <c r="T214" s="20">
        <f t="shared" si="49"/>
        <v>0.23</v>
      </c>
      <c r="U214" s="20">
        <f t="shared" si="52"/>
        <v>4.7649999999999997</v>
      </c>
      <c r="V214" s="21">
        <f t="shared" si="42"/>
        <v>0.38250000000000001</v>
      </c>
      <c r="W214" s="21">
        <f t="shared" si="50"/>
        <v>0.98750000000000004</v>
      </c>
      <c r="X214" s="21">
        <f t="shared" si="53"/>
        <v>0.88875000000000004</v>
      </c>
      <c r="Y214" s="20">
        <f t="shared" si="43"/>
        <v>2.3824999999999998</v>
      </c>
      <c r="Z214" s="20">
        <f t="shared" si="51"/>
        <v>2.9874999999999998</v>
      </c>
      <c r="AA214" s="20">
        <f t="shared" si="54"/>
        <v>2.6887500000000002</v>
      </c>
    </row>
    <row r="215" spans="9:27" x14ac:dyDescent="0.3">
      <c r="I215" s="30">
        <v>2175</v>
      </c>
      <c r="J215" s="30" t="s">
        <v>56</v>
      </c>
      <c r="K215" s="31" t="s">
        <v>245</v>
      </c>
      <c r="L215" s="19" t="s">
        <v>367</v>
      </c>
      <c r="M215" s="20">
        <v>1</v>
      </c>
      <c r="N215" s="20">
        <v>1.42</v>
      </c>
      <c r="O215" s="20">
        <f t="shared" si="44"/>
        <v>1.0649999999999999</v>
      </c>
      <c r="P215" s="20">
        <f t="shared" si="45"/>
        <v>0.25</v>
      </c>
      <c r="Q215" s="20">
        <f t="shared" si="46"/>
        <v>0.1875</v>
      </c>
      <c r="R215" s="20">
        <f t="shared" si="47"/>
        <v>0.25</v>
      </c>
      <c r="S215" s="20">
        <f t="shared" si="48"/>
        <v>0.1875</v>
      </c>
      <c r="T215" s="20">
        <f t="shared" si="49"/>
        <v>0.23</v>
      </c>
      <c r="U215" s="20">
        <f t="shared" si="52"/>
        <v>5.0649999999999995</v>
      </c>
      <c r="V215" s="21">
        <f t="shared" si="42"/>
        <v>0.53249999999999997</v>
      </c>
      <c r="W215" s="21">
        <f t="shared" si="50"/>
        <v>1.1375</v>
      </c>
      <c r="X215" s="21">
        <f t="shared" si="53"/>
        <v>1.0237499999999999</v>
      </c>
      <c r="Y215" s="20">
        <f t="shared" si="43"/>
        <v>2.5324999999999998</v>
      </c>
      <c r="Z215" s="20">
        <f t="shared" si="51"/>
        <v>3.1374999999999997</v>
      </c>
      <c r="AA215" s="20">
        <f t="shared" si="54"/>
        <v>2.82375</v>
      </c>
    </row>
    <row r="216" spans="9:27" x14ac:dyDescent="0.3">
      <c r="I216" s="30">
        <v>2176</v>
      </c>
      <c r="J216" s="30" t="s">
        <v>56</v>
      </c>
      <c r="K216" s="31" t="s">
        <v>246</v>
      </c>
      <c r="L216" s="19" t="s">
        <v>367</v>
      </c>
      <c r="M216" s="20">
        <v>1</v>
      </c>
      <c r="N216" s="20">
        <v>0.69</v>
      </c>
      <c r="O216" s="20">
        <f t="shared" si="44"/>
        <v>0.51749999999999996</v>
      </c>
      <c r="P216" s="20">
        <f t="shared" si="45"/>
        <v>0.25</v>
      </c>
      <c r="Q216" s="20">
        <f t="shared" si="46"/>
        <v>0.1875</v>
      </c>
      <c r="R216" s="20">
        <f t="shared" si="47"/>
        <v>0.25</v>
      </c>
      <c r="S216" s="20">
        <f t="shared" si="48"/>
        <v>0.1875</v>
      </c>
      <c r="T216" s="20">
        <f t="shared" si="49"/>
        <v>0.23</v>
      </c>
      <c r="U216" s="20">
        <f t="shared" si="52"/>
        <v>4.5175000000000001</v>
      </c>
      <c r="V216" s="21">
        <f t="shared" si="42"/>
        <v>0.25874999999999998</v>
      </c>
      <c r="W216" s="21">
        <f t="shared" si="50"/>
        <v>0.86375000000000002</v>
      </c>
      <c r="X216" s="21">
        <f t="shared" si="53"/>
        <v>0.77737499999999993</v>
      </c>
      <c r="Y216" s="20">
        <f t="shared" si="43"/>
        <v>2.25875</v>
      </c>
      <c r="Z216" s="20">
        <f t="shared" si="51"/>
        <v>2.86375</v>
      </c>
      <c r="AA216" s="20">
        <f t="shared" si="54"/>
        <v>2.577375</v>
      </c>
    </row>
    <row r="217" spans="9:27" x14ac:dyDescent="0.3">
      <c r="I217" s="30">
        <v>2177</v>
      </c>
      <c r="J217" s="30" t="s">
        <v>56</v>
      </c>
      <c r="K217" s="31" t="s">
        <v>247</v>
      </c>
      <c r="L217" s="19" t="s">
        <v>367</v>
      </c>
      <c r="M217" s="20">
        <v>1</v>
      </c>
      <c r="N217" s="20">
        <v>0.71</v>
      </c>
      <c r="O217" s="20">
        <f t="shared" si="44"/>
        <v>0.53249999999999997</v>
      </c>
      <c r="P217" s="20">
        <f t="shared" si="45"/>
        <v>0.25</v>
      </c>
      <c r="Q217" s="20">
        <f t="shared" si="46"/>
        <v>0.1875</v>
      </c>
      <c r="R217" s="20">
        <f t="shared" si="47"/>
        <v>0.25</v>
      </c>
      <c r="S217" s="20">
        <f t="shared" si="48"/>
        <v>0.1875</v>
      </c>
      <c r="T217" s="20">
        <f t="shared" si="49"/>
        <v>0.23</v>
      </c>
      <c r="U217" s="20">
        <f t="shared" si="52"/>
        <v>4.5324999999999998</v>
      </c>
      <c r="V217" s="21">
        <f t="shared" si="42"/>
        <v>0.26624999999999999</v>
      </c>
      <c r="W217" s="21">
        <f t="shared" si="50"/>
        <v>0.87124999999999997</v>
      </c>
      <c r="X217" s="21">
        <f t="shared" si="53"/>
        <v>0.78412499999999996</v>
      </c>
      <c r="Y217" s="20">
        <f t="shared" si="43"/>
        <v>2.2662499999999999</v>
      </c>
      <c r="Z217" s="20">
        <f t="shared" si="51"/>
        <v>2.8712499999999999</v>
      </c>
      <c r="AA217" s="20">
        <f t="shared" si="54"/>
        <v>2.5841249999999998</v>
      </c>
    </row>
    <row r="218" spans="9:27" x14ac:dyDescent="0.3">
      <c r="I218" s="30">
        <v>2178</v>
      </c>
      <c r="J218" s="30" t="s">
        <v>56</v>
      </c>
      <c r="K218" s="31" t="s">
        <v>248</v>
      </c>
      <c r="L218" s="19" t="s">
        <v>367</v>
      </c>
      <c r="M218" s="20">
        <v>1</v>
      </c>
      <c r="N218" s="20">
        <v>0.27</v>
      </c>
      <c r="O218" s="20">
        <f t="shared" si="44"/>
        <v>0.20250000000000001</v>
      </c>
      <c r="P218" s="20">
        <f t="shared" si="45"/>
        <v>0.25</v>
      </c>
      <c r="Q218" s="20">
        <f t="shared" si="46"/>
        <v>0.1875</v>
      </c>
      <c r="R218" s="20">
        <f t="shared" si="47"/>
        <v>0.25</v>
      </c>
      <c r="S218" s="20">
        <f t="shared" si="48"/>
        <v>0.1875</v>
      </c>
      <c r="T218" s="20">
        <f t="shared" si="49"/>
        <v>0.23</v>
      </c>
      <c r="U218" s="20">
        <f t="shared" si="52"/>
        <v>4.2024999999999997</v>
      </c>
      <c r="V218" s="21">
        <f t="shared" si="42"/>
        <v>0.10125000000000001</v>
      </c>
      <c r="W218" s="21">
        <f t="shared" si="50"/>
        <v>0.70625000000000004</v>
      </c>
      <c r="X218" s="21">
        <f t="shared" si="53"/>
        <v>0.63562500000000011</v>
      </c>
      <c r="Y218" s="20">
        <f t="shared" si="43"/>
        <v>2.1012499999999998</v>
      </c>
      <c r="Z218" s="20">
        <f t="shared" si="51"/>
        <v>2.7062499999999998</v>
      </c>
      <c r="AA218" s="20">
        <f t="shared" si="54"/>
        <v>2.4356249999999999</v>
      </c>
    </row>
    <row r="219" spans="9:27" x14ac:dyDescent="0.3">
      <c r="I219" s="30">
        <v>2180</v>
      </c>
      <c r="J219" s="30" t="s">
        <v>56</v>
      </c>
      <c r="K219" s="31" t="s">
        <v>249</v>
      </c>
      <c r="L219" s="19" t="s">
        <v>367</v>
      </c>
      <c r="M219" s="20">
        <v>1</v>
      </c>
      <c r="N219" s="20">
        <v>0.56999999999999995</v>
      </c>
      <c r="O219" s="20">
        <f t="shared" si="44"/>
        <v>0.42749999999999999</v>
      </c>
      <c r="P219" s="20">
        <f t="shared" si="45"/>
        <v>0.25</v>
      </c>
      <c r="Q219" s="20">
        <f t="shared" si="46"/>
        <v>0.1875</v>
      </c>
      <c r="R219" s="20">
        <f t="shared" si="47"/>
        <v>0.25</v>
      </c>
      <c r="S219" s="20">
        <f t="shared" si="48"/>
        <v>0.1875</v>
      </c>
      <c r="T219" s="20">
        <f t="shared" si="49"/>
        <v>0.23</v>
      </c>
      <c r="U219" s="20">
        <f t="shared" si="52"/>
        <v>4.4275000000000002</v>
      </c>
      <c r="V219" s="21">
        <f t="shared" si="42"/>
        <v>0.21375</v>
      </c>
      <c r="W219" s="21">
        <f t="shared" si="50"/>
        <v>0.81874999999999998</v>
      </c>
      <c r="X219" s="21">
        <f t="shared" si="53"/>
        <v>0.73687499999999995</v>
      </c>
      <c r="Y219" s="20">
        <f t="shared" si="43"/>
        <v>2.2137500000000001</v>
      </c>
      <c r="Z219" s="20">
        <f t="shared" si="51"/>
        <v>2.8187500000000001</v>
      </c>
      <c r="AA219" s="20">
        <f t="shared" si="54"/>
        <v>2.5368750000000002</v>
      </c>
    </row>
    <row r="220" spans="9:27" x14ac:dyDescent="0.3">
      <c r="I220" s="30">
        <v>2181</v>
      </c>
      <c r="J220" s="30" t="s">
        <v>56</v>
      </c>
      <c r="K220" s="31" t="s">
        <v>250</v>
      </c>
      <c r="L220" s="19" t="s">
        <v>367</v>
      </c>
      <c r="M220" s="20">
        <v>1</v>
      </c>
      <c r="N220" s="20">
        <v>3.07</v>
      </c>
      <c r="O220" s="20">
        <f t="shared" si="44"/>
        <v>2.3024999999999998</v>
      </c>
      <c r="P220" s="20">
        <f t="shared" si="45"/>
        <v>0.25</v>
      </c>
      <c r="Q220" s="20">
        <f t="shared" si="46"/>
        <v>0.1875</v>
      </c>
      <c r="R220" s="20">
        <f t="shared" si="47"/>
        <v>0.25</v>
      </c>
      <c r="S220" s="20">
        <f t="shared" si="48"/>
        <v>0.1875</v>
      </c>
      <c r="T220" s="20">
        <f t="shared" si="49"/>
        <v>0.23</v>
      </c>
      <c r="U220" s="20">
        <f t="shared" si="52"/>
        <v>6.3025000000000002</v>
      </c>
      <c r="V220" s="21">
        <f t="shared" si="42"/>
        <v>1.1512499999999999</v>
      </c>
      <c r="W220" s="21">
        <f t="shared" si="50"/>
        <v>1.7562499999999999</v>
      </c>
      <c r="X220" s="21">
        <f t="shared" si="53"/>
        <v>1.5806249999999999</v>
      </c>
      <c r="Y220" s="20">
        <f t="shared" si="43"/>
        <v>3.1512500000000001</v>
      </c>
      <c r="Z220" s="20">
        <f t="shared" si="51"/>
        <v>3.7562500000000001</v>
      </c>
      <c r="AA220" s="20">
        <f t="shared" si="54"/>
        <v>3.3806250000000002</v>
      </c>
    </row>
    <row r="221" spans="9:27" x14ac:dyDescent="0.3">
      <c r="I221" s="32">
        <v>2183</v>
      </c>
      <c r="J221" s="32" t="s">
        <v>56</v>
      </c>
      <c r="K221" s="33" t="s">
        <v>251</v>
      </c>
      <c r="L221" s="22" t="s">
        <v>369</v>
      </c>
      <c r="M221" s="20">
        <v>4</v>
      </c>
      <c r="N221" s="20">
        <v>0.53</v>
      </c>
      <c r="O221" s="20">
        <f t="shared" si="44"/>
        <v>1.3780000000000001</v>
      </c>
      <c r="P221" s="20">
        <f t="shared" si="45"/>
        <v>0.25</v>
      </c>
      <c r="Q221" s="20">
        <f t="shared" si="46"/>
        <v>0.65</v>
      </c>
      <c r="R221" s="20">
        <f t="shared" si="47"/>
        <v>0.25</v>
      </c>
      <c r="S221" s="20">
        <f t="shared" si="48"/>
        <v>0.65</v>
      </c>
      <c r="T221" s="20">
        <f t="shared" si="49"/>
        <v>0.23</v>
      </c>
      <c r="U221" s="20">
        <f t="shared" si="52"/>
        <v>5.3780000000000001</v>
      </c>
      <c r="V221" s="21">
        <f t="shared" si="42"/>
        <v>0.68900000000000006</v>
      </c>
      <c r="W221" s="21">
        <f t="shared" si="50"/>
        <v>2.2189999999999999</v>
      </c>
      <c r="X221" s="21">
        <f t="shared" si="53"/>
        <v>1.9970999999999999</v>
      </c>
      <c r="Y221" s="20">
        <f t="shared" si="43"/>
        <v>2.6890000000000005</v>
      </c>
      <c r="Z221" s="20">
        <f t="shared" si="51"/>
        <v>4.2190000000000003</v>
      </c>
      <c r="AA221" s="20">
        <f t="shared" si="54"/>
        <v>3.7971000000000004</v>
      </c>
    </row>
    <row r="222" spans="9:27" x14ac:dyDescent="0.3">
      <c r="I222" s="30">
        <v>2184</v>
      </c>
      <c r="J222" s="30" t="s">
        <v>56</v>
      </c>
      <c r="K222" s="31" t="s">
        <v>252</v>
      </c>
      <c r="L222" s="19" t="s">
        <v>367</v>
      </c>
      <c r="M222" s="20">
        <v>1</v>
      </c>
      <c r="N222" s="20">
        <v>0.92</v>
      </c>
      <c r="O222" s="20">
        <f t="shared" si="44"/>
        <v>0.69000000000000006</v>
      </c>
      <c r="P222" s="20">
        <f t="shared" si="45"/>
        <v>0.25</v>
      </c>
      <c r="Q222" s="20">
        <f t="shared" si="46"/>
        <v>0.1875</v>
      </c>
      <c r="R222" s="20">
        <f t="shared" si="47"/>
        <v>0.25</v>
      </c>
      <c r="S222" s="20">
        <f t="shared" si="48"/>
        <v>0.1875</v>
      </c>
      <c r="T222" s="20">
        <f t="shared" si="49"/>
        <v>0.23</v>
      </c>
      <c r="U222" s="20">
        <f t="shared" si="52"/>
        <v>4.6900000000000004</v>
      </c>
      <c r="V222" s="21">
        <f t="shared" si="42"/>
        <v>0.34500000000000008</v>
      </c>
      <c r="W222" s="21">
        <f t="shared" si="50"/>
        <v>0.95000000000000007</v>
      </c>
      <c r="X222" s="21">
        <f t="shared" si="53"/>
        <v>0.85499999999999998</v>
      </c>
      <c r="Y222" s="20">
        <f t="shared" si="43"/>
        <v>2.3450000000000002</v>
      </c>
      <c r="Z222" s="20">
        <f t="shared" si="51"/>
        <v>2.95</v>
      </c>
      <c r="AA222" s="20">
        <f t="shared" si="54"/>
        <v>2.6549999999999998</v>
      </c>
    </row>
    <row r="223" spans="9:27" x14ac:dyDescent="0.3">
      <c r="I223" s="30">
        <v>2185</v>
      </c>
      <c r="J223" s="30" t="s">
        <v>56</v>
      </c>
      <c r="K223" s="31" t="s">
        <v>253</v>
      </c>
      <c r="L223" s="19" t="s">
        <v>367</v>
      </c>
      <c r="M223" s="20">
        <v>1</v>
      </c>
      <c r="N223" s="20">
        <v>2.31</v>
      </c>
      <c r="O223" s="20">
        <f t="shared" si="44"/>
        <v>1.7324999999999999</v>
      </c>
      <c r="P223" s="20">
        <f t="shared" si="45"/>
        <v>0.25</v>
      </c>
      <c r="Q223" s="20">
        <f t="shared" si="46"/>
        <v>0.1875</v>
      </c>
      <c r="R223" s="20">
        <f t="shared" si="47"/>
        <v>0.25</v>
      </c>
      <c r="S223" s="20">
        <f t="shared" si="48"/>
        <v>0.1875</v>
      </c>
      <c r="T223" s="20">
        <f t="shared" si="49"/>
        <v>0.23</v>
      </c>
      <c r="U223" s="20">
        <f t="shared" si="52"/>
        <v>5.7324999999999999</v>
      </c>
      <c r="V223" s="21">
        <f t="shared" si="42"/>
        <v>0.86624999999999996</v>
      </c>
      <c r="W223" s="21">
        <f t="shared" si="50"/>
        <v>1.4712499999999999</v>
      </c>
      <c r="X223" s="21">
        <f t="shared" si="53"/>
        <v>1.324125</v>
      </c>
      <c r="Y223" s="20">
        <f t="shared" si="43"/>
        <v>2.86625</v>
      </c>
      <c r="Z223" s="20">
        <f t="shared" si="51"/>
        <v>3.4712499999999999</v>
      </c>
      <c r="AA223" s="20">
        <f t="shared" si="54"/>
        <v>3.1241250000000003</v>
      </c>
    </row>
    <row r="224" spans="9:27" x14ac:dyDescent="0.3">
      <c r="I224" s="30">
        <v>2186</v>
      </c>
      <c r="J224" s="30" t="s">
        <v>56</v>
      </c>
      <c r="K224" s="31" t="s">
        <v>254</v>
      </c>
      <c r="L224" s="19" t="s">
        <v>367</v>
      </c>
      <c r="M224" s="20">
        <v>1</v>
      </c>
      <c r="N224" s="20">
        <v>0.84</v>
      </c>
      <c r="O224" s="20">
        <f t="shared" si="44"/>
        <v>0.63</v>
      </c>
      <c r="P224" s="20">
        <f t="shared" si="45"/>
        <v>0.25</v>
      </c>
      <c r="Q224" s="20">
        <f t="shared" si="46"/>
        <v>0.1875</v>
      </c>
      <c r="R224" s="20">
        <f t="shared" si="47"/>
        <v>0.25</v>
      </c>
      <c r="S224" s="20">
        <f t="shared" si="48"/>
        <v>0.1875</v>
      </c>
      <c r="T224" s="20">
        <f t="shared" si="49"/>
        <v>0.23</v>
      </c>
      <c r="U224" s="20">
        <f t="shared" si="52"/>
        <v>4.63</v>
      </c>
      <c r="V224" s="21">
        <f t="shared" si="42"/>
        <v>0.315</v>
      </c>
      <c r="W224" s="21">
        <f t="shared" si="50"/>
        <v>0.92</v>
      </c>
      <c r="X224" s="21">
        <f t="shared" si="53"/>
        <v>0.82799999999999996</v>
      </c>
      <c r="Y224" s="20">
        <f t="shared" si="43"/>
        <v>2.3149999999999999</v>
      </c>
      <c r="Z224" s="20">
        <f t="shared" si="51"/>
        <v>2.92</v>
      </c>
      <c r="AA224" s="20">
        <f t="shared" si="54"/>
        <v>2.6280000000000001</v>
      </c>
    </row>
    <row r="225" spans="9:27" x14ac:dyDescent="0.3">
      <c r="I225" s="32">
        <v>2187</v>
      </c>
      <c r="J225" s="32" t="s">
        <v>56</v>
      </c>
      <c r="K225" s="33" t="s">
        <v>255</v>
      </c>
      <c r="L225" s="22" t="s">
        <v>369</v>
      </c>
      <c r="M225" s="20">
        <v>4</v>
      </c>
      <c r="N225" s="20">
        <v>1.07</v>
      </c>
      <c r="O225" s="20">
        <f t="shared" si="44"/>
        <v>2.782</v>
      </c>
      <c r="P225" s="20">
        <f t="shared" si="45"/>
        <v>0.25</v>
      </c>
      <c r="Q225" s="20">
        <f t="shared" si="46"/>
        <v>0.65</v>
      </c>
      <c r="R225" s="20">
        <f t="shared" si="47"/>
        <v>0.25</v>
      </c>
      <c r="S225" s="20">
        <f t="shared" si="48"/>
        <v>0.65</v>
      </c>
      <c r="T225" s="20">
        <f t="shared" si="49"/>
        <v>0.23</v>
      </c>
      <c r="U225" s="20">
        <f t="shared" si="52"/>
        <v>6.782</v>
      </c>
      <c r="V225" s="21">
        <f t="shared" si="42"/>
        <v>1.391</v>
      </c>
      <c r="W225" s="21">
        <f t="shared" si="50"/>
        <v>2.9209999999999998</v>
      </c>
      <c r="X225" s="21">
        <f t="shared" si="53"/>
        <v>2.6288999999999998</v>
      </c>
      <c r="Y225" s="20">
        <f t="shared" si="43"/>
        <v>3.391</v>
      </c>
      <c r="Z225" s="20">
        <f t="shared" si="51"/>
        <v>4.9210000000000012</v>
      </c>
      <c r="AA225" s="20">
        <f t="shared" si="54"/>
        <v>4.4289000000000014</v>
      </c>
    </row>
    <row r="226" spans="9:27" x14ac:dyDescent="0.3">
      <c r="I226" s="30">
        <v>2188</v>
      </c>
      <c r="J226" s="30" t="s">
        <v>56</v>
      </c>
      <c r="K226" s="31" t="s">
        <v>256</v>
      </c>
      <c r="L226" s="19" t="s">
        <v>367</v>
      </c>
      <c r="M226" s="20">
        <v>1</v>
      </c>
      <c r="N226" s="20">
        <v>1.64</v>
      </c>
      <c r="O226" s="20">
        <f t="shared" si="44"/>
        <v>1.23</v>
      </c>
      <c r="P226" s="20">
        <f t="shared" si="45"/>
        <v>0.25</v>
      </c>
      <c r="Q226" s="20">
        <f t="shared" si="46"/>
        <v>0.1875</v>
      </c>
      <c r="R226" s="20">
        <f t="shared" si="47"/>
        <v>0.25</v>
      </c>
      <c r="S226" s="20">
        <f t="shared" si="48"/>
        <v>0.1875</v>
      </c>
      <c r="T226" s="20">
        <f t="shared" si="49"/>
        <v>0.23</v>
      </c>
      <c r="U226" s="20">
        <f t="shared" si="52"/>
        <v>5.23</v>
      </c>
      <c r="V226" s="21">
        <f t="shared" si="42"/>
        <v>0.61499999999999999</v>
      </c>
      <c r="W226" s="21">
        <f t="shared" si="50"/>
        <v>1.22</v>
      </c>
      <c r="X226" s="21">
        <f t="shared" si="53"/>
        <v>1.0979999999999999</v>
      </c>
      <c r="Y226" s="20">
        <f t="shared" si="43"/>
        <v>2.6150000000000002</v>
      </c>
      <c r="Z226" s="20">
        <f t="shared" si="51"/>
        <v>3.22</v>
      </c>
      <c r="AA226" s="20">
        <f t="shared" si="54"/>
        <v>2.8980000000000001</v>
      </c>
    </row>
    <row r="227" spans="9:27" x14ac:dyDescent="0.3">
      <c r="I227" s="32">
        <v>2189</v>
      </c>
      <c r="J227" s="32" t="s">
        <v>56</v>
      </c>
      <c r="K227" s="33" t="s">
        <v>257</v>
      </c>
      <c r="L227" s="22" t="s">
        <v>368</v>
      </c>
      <c r="M227" s="20">
        <v>3</v>
      </c>
      <c r="N227" s="20">
        <v>1.1599999999999999</v>
      </c>
      <c r="O227" s="20">
        <f t="shared" si="44"/>
        <v>1.45</v>
      </c>
      <c r="P227" s="20">
        <f t="shared" si="45"/>
        <v>0.25</v>
      </c>
      <c r="Q227" s="20">
        <f t="shared" si="46"/>
        <v>0.3125</v>
      </c>
      <c r="R227" s="20">
        <f t="shared" si="47"/>
        <v>0.25</v>
      </c>
      <c r="S227" s="20">
        <f t="shared" si="48"/>
        <v>0.3125</v>
      </c>
      <c r="T227" s="20">
        <f t="shared" si="49"/>
        <v>0.23</v>
      </c>
      <c r="U227" s="20">
        <f t="shared" si="52"/>
        <v>5.45</v>
      </c>
      <c r="V227" s="21">
        <f t="shared" si="42"/>
        <v>0.72499999999999998</v>
      </c>
      <c r="W227" s="21">
        <f t="shared" si="50"/>
        <v>1.58</v>
      </c>
      <c r="X227" s="21">
        <f t="shared" si="53"/>
        <v>1.4220000000000002</v>
      </c>
      <c r="Y227" s="20">
        <f t="shared" si="43"/>
        <v>2.7250000000000001</v>
      </c>
      <c r="Z227" s="20">
        <f t="shared" si="51"/>
        <v>3.58</v>
      </c>
      <c r="AA227" s="20">
        <f t="shared" si="54"/>
        <v>3.222</v>
      </c>
    </row>
    <row r="228" spans="9:27" x14ac:dyDescent="0.3">
      <c r="I228" s="30">
        <v>2211</v>
      </c>
      <c r="J228" s="30" t="s">
        <v>56</v>
      </c>
      <c r="K228" s="31" t="s">
        <v>258</v>
      </c>
      <c r="L228" s="19" t="s">
        <v>367</v>
      </c>
      <c r="M228" s="20">
        <v>1</v>
      </c>
      <c r="N228" s="20">
        <v>1.62</v>
      </c>
      <c r="O228" s="20">
        <f t="shared" si="44"/>
        <v>1.2150000000000001</v>
      </c>
      <c r="P228" s="20">
        <f t="shared" si="45"/>
        <v>0.25</v>
      </c>
      <c r="Q228" s="20">
        <f t="shared" si="46"/>
        <v>0.1875</v>
      </c>
      <c r="R228" s="20">
        <f t="shared" si="47"/>
        <v>0.25</v>
      </c>
      <c r="S228" s="20">
        <f t="shared" si="48"/>
        <v>0.1875</v>
      </c>
      <c r="T228" s="20">
        <f t="shared" si="49"/>
        <v>0.23</v>
      </c>
      <c r="U228" s="20">
        <f t="shared" si="52"/>
        <v>5.2149999999999999</v>
      </c>
      <c r="V228" s="21">
        <f t="shared" si="42"/>
        <v>0.60750000000000004</v>
      </c>
      <c r="W228" s="21">
        <f t="shared" si="50"/>
        <v>1.2124999999999999</v>
      </c>
      <c r="X228" s="21">
        <f t="shared" si="53"/>
        <v>1.0912499999999998</v>
      </c>
      <c r="Y228" s="20">
        <f t="shared" si="43"/>
        <v>2.6074999999999999</v>
      </c>
      <c r="Z228" s="20">
        <f t="shared" si="51"/>
        <v>3.2124999999999999</v>
      </c>
      <c r="AA228" s="20">
        <f t="shared" si="54"/>
        <v>2.8912499999999999</v>
      </c>
    </row>
    <row r="229" spans="9:27" x14ac:dyDescent="0.3">
      <c r="I229" s="30">
        <v>2190</v>
      </c>
      <c r="J229" s="30" t="s">
        <v>56</v>
      </c>
      <c r="K229" s="31" t="s">
        <v>259</v>
      </c>
      <c r="L229" s="19" t="s">
        <v>367</v>
      </c>
      <c r="M229" s="20">
        <v>1</v>
      </c>
      <c r="N229" s="20">
        <v>0.76</v>
      </c>
      <c r="O229" s="20">
        <f t="shared" si="44"/>
        <v>0.57000000000000006</v>
      </c>
      <c r="P229" s="20">
        <f t="shared" si="45"/>
        <v>0.25</v>
      </c>
      <c r="Q229" s="20">
        <f t="shared" si="46"/>
        <v>0.1875</v>
      </c>
      <c r="R229" s="20">
        <f t="shared" si="47"/>
        <v>0.25</v>
      </c>
      <c r="S229" s="20">
        <f t="shared" si="48"/>
        <v>0.1875</v>
      </c>
      <c r="T229" s="20">
        <f t="shared" si="49"/>
        <v>0.23</v>
      </c>
      <c r="U229" s="20">
        <f t="shared" si="52"/>
        <v>4.57</v>
      </c>
      <c r="V229" s="21">
        <f t="shared" si="42"/>
        <v>0.28500000000000003</v>
      </c>
      <c r="W229" s="21">
        <f t="shared" si="50"/>
        <v>0.89</v>
      </c>
      <c r="X229" s="21">
        <f t="shared" si="53"/>
        <v>0.80099999999999993</v>
      </c>
      <c r="Y229" s="20">
        <f t="shared" si="43"/>
        <v>2.2850000000000001</v>
      </c>
      <c r="Z229" s="20">
        <f t="shared" si="51"/>
        <v>2.89</v>
      </c>
      <c r="AA229" s="20">
        <f t="shared" si="54"/>
        <v>2.6010000000000004</v>
      </c>
    </row>
    <row r="230" spans="9:27" x14ac:dyDescent="0.3">
      <c r="I230" s="32">
        <v>2191</v>
      </c>
      <c r="J230" s="32" t="s">
        <v>56</v>
      </c>
      <c r="K230" s="33" t="s">
        <v>260</v>
      </c>
      <c r="L230" s="22" t="s">
        <v>368</v>
      </c>
      <c r="M230" s="20">
        <v>3</v>
      </c>
      <c r="N230" s="20">
        <v>0.78</v>
      </c>
      <c r="O230" s="20">
        <f t="shared" si="44"/>
        <v>0.97500000000000009</v>
      </c>
      <c r="P230" s="20">
        <f t="shared" si="45"/>
        <v>0.25</v>
      </c>
      <c r="Q230" s="20">
        <f t="shared" si="46"/>
        <v>0.3125</v>
      </c>
      <c r="R230" s="20">
        <f t="shared" si="47"/>
        <v>0.25</v>
      </c>
      <c r="S230" s="20">
        <f t="shared" si="48"/>
        <v>0.3125</v>
      </c>
      <c r="T230" s="20">
        <f t="shared" si="49"/>
        <v>0.23</v>
      </c>
      <c r="U230" s="20">
        <f t="shared" si="52"/>
        <v>4.9749999999999996</v>
      </c>
      <c r="V230" s="21">
        <f t="shared" ref="V230:V287" si="55">IF($D$17="Y",O230+($C$29*O230/100),O230)</f>
        <v>0.48750000000000004</v>
      </c>
      <c r="W230" s="21">
        <f t="shared" si="50"/>
        <v>1.3425</v>
      </c>
      <c r="X230" s="21">
        <f t="shared" si="53"/>
        <v>1.20825</v>
      </c>
      <c r="Y230" s="20">
        <f t="shared" ref="Y230:Y287" si="56">IF($D$17="Y",U230+($C$29*U230/100),U230)</f>
        <v>2.4874999999999998</v>
      </c>
      <c r="Z230" s="20">
        <f t="shared" si="51"/>
        <v>3.3424999999999998</v>
      </c>
      <c r="AA230" s="20">
        <f t="shared" si="54"/>
        <v>3.0082499999999999</v>
      </c>
    </row>
    <row r="231" spans="9:27" x14ac:dyDescent="0.3">
      <c r="I231" s="30">
        <v>2192</v>
      </c>
      <c r="J231" s="30" t="s">
        <v>56</v>
      </c>
      <c r="K231" s="31" t="s">
        <v>261</v>
      </c>
      <c r="L231" s="19" t="s">
        <v>367</v>
      </c>
      <c r="M231" s="20">
        <v>1</v>
      </c>
      <c r="N231" s="20">
        <v>0.83</v>
      </c>
      <c r="O231" s="20">
        <f t="shared" si="44"/>
        <v>0.62249999999999994</v>
      </c>
      <c r="P231" s="20">
        <f t="shared" si="45"/>
        <v>0.25</v>
      </c>
      <c r="Q231" s="20">
        <f t="shared" si="46"/>
        <v>0.1875</v>
      </c>
      <c r="R231" s="20">
        <f t="shared" si="47"/>
        <v>0.25</v>
      </c>
      <c r="S231" s="20">
        <f t="shared" si="48"/>
        <v>0.1875</v>
      </c>
      <c r="T231" s="20">
        <f t="shared" si="49"/>
        <v>0.23</v>
      </c>
      <c r="U231" s="20">
        <f t="shared" si="52"/>
        <v>4.6224999999999996</v>
      </c>
      <c r="V231" s="21">
        <f t="shared" si="55"/>
        <v>0.31124999999999997</v>
      </c>
      <c r="W231" s="21">
        <f t="shared" si="50"/>
        <v>0.91625000000000001</v>
      </c>
      <c r="X231" s="21">
        <f t="shared" si="53"/>
        <v>0.82462500000000005</v>
      </c>
      <c r="Y231" s="20">
        <f t="shared" si="56"/>
        <v>2.3112499999999998</v>
      </c>
      <c r="Z231" s="20">
        <f t="shared" si="51"/>
        <v>2.9162499999999998</v>
      </c>
      <c r="AA231" s="20">
        <f t="shared" si="54"/>
        <v>2.624625</v>
      </c>
    </row>
    <row r="232" spans="9:27" x14ac:dyDescent="0.3">
      <c r="I232" s="32">
        <v>2193</v>
      </c>
      <c r="J232" s="32" t="s">
        <v>56</v>
      </c>
      <c r="K232" s="33" t="s">
        <v>262</v>
      </c>
      <c r="L232" s="22" t="s">
        <v>370</v>
      </c>
      <c r="M232" s="20">
        <v>2</v>
      </c>
      <c r="N232" s="20">
        <v>1.1499999999999999</v>
      </c>
      <c r="O232" s="20">
        <f t="shared" si="44"/>
        <v>1.0349999999999999</v>
      </c>
      <c r="P232" s="20">
        <f t="shared" si="45"/>
        <v>0.25</v>
      </c>
      <c r="Q232" s="20">
        <f t="shared" si="46"/>
        <v>0.22500000000000001</v>
      </c>
      <c r="R232" s="20">
        <f t="shared" si="47"/>
        <v>0.25</v>
      </c>
      <c r="S232" s="20">
        <f t="shared" si="48"/>
        <v>0.22500000000000001</v>
      </c>
      <c r="T232" s="20">
        <f t="shared" si="49"/>
        <v>0.23</v>
      </c>
      <c r="U232" s="20">
        <f t="shared" si="52"/>
        <v>5.0350000000000001</v>
      </c>
      <c r="V232" s="21">
        <f t="shared" si="55"/>
        <v>0.51749999999999996</v>
      </c>
      <c r="W232" s="21">
        <f t="shared" si="50"/>
        <v>1.1975</v>
      </c>
      <c r="X232" s="21">
        <f t="shared" si="53"/>
        <v>1.07775</v>
      </c>
      <c r="Y232" s="20">
        <f t="shared" si="56"/>
        <v>2.5175000000000001</v>
      </c>
      <c r="Z232" s="20">
        <f t="shared" si="51"/>
        <v>3.1975000000000002</v>
      </c>
      <c r="AA232" s="20">
        <f t="shared" si="54"/>
        <v>2.8777500000000003</v>
      </c>
    </row>
    <row r="233" spans="9:27" x14ac:dyDescent="0.3">
      <c r="I233" s="32">
        <v>2194</v>
      </c>
      <c r="J233" s="32" t="s">
        <v>56</v>
      </c>
      <c r="K233" s="33" t="s">
        <v>263</v>
      </c>
      <c r="L233" s="22" t="s">
        <v>368</v>
      </c>
      <c r="M233" s="20">
        <v>3</v>
      </c>
      <c r="N233" s="20">
        <v>1.01</v>
      </c>
      <c r="O233" s="20">
        <f t="shared" si="44"/>
        <v>1.2625</v>
      </c>
      <c r="P233" s="20">
        <f t="shared" si="45"/>
        <v>0.25</v>
      </c>
      <c r="Q233" s="20">
        <f t="shared" si="46"/>
        <v>0.3125</v>
      </c>
      <c r="R233" s="20">
        <f t="shared" si="47"/>
        <v>0.25</v>
      </c>
      <c r="S233" s="20">
        <f t="shared" si="48"/>
        <v>0.3125</v>
      </c>
      <c r="T233" s="20">
        <f t="shared" si="49"/>
        <v>0.23</v>
      </c>
      <c r="U233" s="20">
        <f t="shared" si="52"/>
        <v>5.2625000000000002</v>
      </c>
      <c r="V233" s="21">
        <f t="shared" si="55"/>
        <v>0.63124999999999998</v>
      </c>
      <c r="W233" s="21">
        <f t="shared" si="50"/>
        <v>1.4862500000000001</v>
      </c>
      <c r="X233" s="21">
        <f t="shared" si="53"/>
        <v>1.3376250000000001</v>
      </c>
      <c r="Y233" s="20">
        <f t="shared" si="56"/>
        <v>2.6312500000000001</v>
      </c>
      <c r="Z233" s="20">
        <f t="shared" si="51"/>
        <v>3.4862500000000001</v>
      </c>
      <c r="AA233" s="20">
        <f t="shared" si="54"/>
        <v>3.1376249999999999</v>
      </c>
    </row>
    <row r="234" spans="9:27" x14ac:dyDescent="0.3">
      <c r="I234" s="30">
        <v>2195</v>
      </c>
      <c r="J234" s="30" t="s">
        <v>56</v>
      </c>
      <c r="K234" s="31" t="s">
        <v>264</v>
      </c>
      <c r="L234" s="19" t="s">
        <v>367</v>
      </c>
      <c r="M234" s="20">
        <v>1</v>
      </c>
      <c r="N234" s="20">
        <v>3.34</v>
      </c>
      <c r="O234" s="20">
        <f t="shared" si="44"/>
        <v>2.5049999999999999</v>
      </c>
      <c r="P234" s="20">
        <f t="shared" si="45"/>
        <v>0.25</v>
      </c>
      <c r="Q234" s="20">
        <f t="shared" si="46"/>
        <v>0.1875</v>
      </c>
      <c r="R234" s="20">
        <f t="shared" si="47"/>
        <v>0.25</v>
      </c>
      <c r="S234" s="20">
        <f t="shared" si="48"/>
        <v>0.1875</v>
      </c>
      <c r="T234" s="20">
        <f t="shared" si="49"/>
        <v>0.23</v>
      </c>
      <c r="U234" s="20">
        <f t="shared" si="52"/>
        <v>6.5049999999999999</v>
      </c>
      <c r="V234" s="21">
        <f t="shared" si="55"/>
        <v>1.2524999999999999</v>
      </c>
      <c r="W234" s="21">
        <f t="shared" si="50"/>
        <v>1.8574999999999999</v>
      </c>
      <c r="X234" s="21">
        <f t="shared" si="53"/>
        <v>1.6717499999999998</v>
      </c>
      <c r="Y234" s="20">
        <f t="shared" si="56"/>
        <v>3.2524999999999999</v>
      </c>
      <c r="Z234" s="20">
        <f t="shared" si="51"/>
        <v>3.8574999999999999</v>
      </c>
      <c r="AA234" s="20">
        <f t="shared" si="54"/>
        <v>3.4717500000000001</v>
      </c>
    </row>
    <row r="235" spans="9:27" x14ac:dyDescent="0.3">
      <c r="I235" s="30">
        <v>2197</v>
      </c>
      <c r="J235" s="30" t="s">
        <v>56</v>
      </c>
      <c r="K235" s="31" t="s">
        <v>265</v>
      </c>
      <c r="L235" s="19" t="s">
        <v>367</v>
      </c>
      <c r="M235" s="20">
        <v>1</v>
      </c>
      <c r="N235" s="20">
        <v>1.75</v>
      </c>
      <c r="O235" s="20">
        <f t="shared" si="44"/>
        <v>1.3125</v>
      </c>
      <c r="P235" s="20">
        <f t="shared" si="45"/>
        <v>0.25</v>
      </c>
      <c r="Q235" s="20">
        <f t="shared" si="46"/>
        <v>0.1875</v>
      </c>
      <c r="R235" s="20">
        <f t="shared" si="47"/>
        <v>0.25</v>
      </c>
      <c r="S235" s="20">
        <f t="shared" si="48"/>
        <v>0.1875</v>
      </c>
      <c r="T235" s="20">
        <f t="shared" si="49"/>
        <v>0.23</v>
      </c>
      <c r="U235" s="20">
        <f t="shared" si="52"/>
        <v>5.3125</v>
      </c>
      <c r="V235" s="21">
        <f t="shared" si="55"/>
        <v>0.65625</v>
      </c>
      <c r="W235" s="21">
        <f t="shared" si="50"/>
        <v>1.26125</v>
      </c>
      <c r="X235" s="21">
        <f t="shared" si="53"/>
        <v>1.1351249999999999</v>
      </c>
      <c r="Y235" s="20">
        <f t="shared" si="56"/>
        <v>2.65625</v>
      </c>
      <c r="Z235" s="20">
        <f t="shared" si="51"/>
        <v>3.26125</v>
      </c>
      <c r="AA235" s="20">
        <f t="shared" si="54"/>
        <v>2.9351249999999998</v>
      </c>
    </row>
    <row r="236" spans="9:27" x14ac:dyDescent="0.3">
      <c r="I236" s="30">
        <v>2196</v>
      </c>
      <c r="J236" s="30" t="s">
        <v>56</v>
      </c>
      <c r="K236" s="31" t="s">
        <v>266</v>
      </c>
      <c r="L236" s="19" t="s">
        <v>367</v>
      </c>
      <c r="M236" s="20">
        <v>1</v>
      </c>
      <c r="N236" s="20">
        <v>0.83</v>
      </c>
      <c r="O236" s="20">
        <f t="shared" si="44"/>
        <v>0.62249999999999994</v>
      </c>
      <c r="P236" s="20">
        <f t="shared" si="45"/>
        <v>0.25</v>
      </c>
      <c r="Q236" s="20">
        <f t="shared" si="46"/>
        <v>0.1875</v>
      </c>
      <c r="R236" s="20">
        <f t="shared" si="47"/>
        <v>0.25</v>
      </c>
      <c r="S236" s="20">
        <f t="shared" si="48"/>
        <v>0.1875</v>
      </c>
      <c r="T236" s="20">
        <f t="shared" si="49"/>
        <v>0.23</v>
      </c>
      <c r="U236" s="20">
        <f t="shared" si="52"/>
        <v>4.6224999999999996</v>
      </c>
      <c r="V236" s="21">
        <f t="shared" si="55"/>
        <v>0.31124999999999997</v>
      </c>
      <c r="W236" s="21">
        <f t="shared" si="50"/>
        <v>0.91625000000000001</v>
      </c>
      <c r="X236" s="21">
        <f t="shared" si="53"/>
        <v>0.82462500000000005</v>
      </c>
      <c r="Y236" s="20">
        <f t="shared" si="56"/>
        <v>2.3112499999999998</v>
      </c>
      <c r="Z236" s="20">
        <f t="shared" si="51"/>
        <v>2.9162499999999998</v>
      </c>
      <c r="AA236" s="20">
        <f t="shared" si="54"/>
        <v>2.624625</v>
      </c>
    </row>
    <row r="237" spans="9:27" x14ac:dyDescent="0.3">
      <c r="I237" s="30">
        <v>2198</v>
      </c>
      <c r="J237" s="30" t="s">
        <v>56</v>
      </c>
      <c r="K237" s="31" t="s">
        <v>267</v>
      </c>
      <c r="L237" s="19" t="s">
        <v>367</v>
      </c>
      <c r="M237" s="20">
        <v>1</v>
      </c>
      <c r="N237" s="20">
        <v>0.85</v>
      </c>
      <c r="O237" s="20">
        <f t="shared" si="44"/>
        <v>0.63749999999999996</v>
      </c>
      <c r="P237" s="20">
        <f t="shared" si="45"/>
        <v>0.25</v>
      </c>
      <c r="Q237" s="20">
        <f t="shared" si="46"/>
        <v>0.1875</v>
      </c>
      <c r="R237" s="20">
        <f t="shared" si="47"/>
        <v>0.25</v>
      </c>
      <c r="S237" s="20">
        <f t="shared" si="48"/>
        <v>0.1875</v>
      </c>
      <c r="T237" s="20">
        <f t="shared" si="49"/>
        <v>0.23</v>
      </c>
      <c r="U237" s="20">
        <f t="shared" si="52"/>
        <v>4.6375000000000002</v>
      </c>
      <c r="V237" s="21">
        <f t="shared" si="55"/>
        <v>0.31874999999999998</v>
      </c>
      <c r="W237" s="21">
        <f t="shared" si="50"/>
        <v>0.92374999999999996</v>
      </c>
      <c r="X237" s="21">
        <f t="shared" si="53"/>
        <v>0.83137499999999998</v>
      </c>
      <c r="Y237" s="20">
        <f t="shared" si="56"/>
        <v>2.3187500000000001</v>
      </c>
      <c r="Z237" s="20">
        <f t="shared" si="51"/>
        <v>2.9237500000000001</v>
      </c>
      <c r="AA237" s="20">
        <f t="shared" si="54"/>
        <v>2.6313749999999998</v>
      </c>
    </row>
    <row r="238" spans="9:27" x14ac:dyDescent="0.3">
      <c r="I238" s="30">
        <v>2199</v>
      </c>
      <c r="J238" s="30" t="s">
        <v>56</v>
      </c>
      <c r="K238" s="31" t="s">
        <v>268</v>
      </c>
      <c r="L238" s="19" t="s">
        <v>367</v>
      </c>
      <c r="M238" s="20">
        <v>1</v>
      </c>
      <c r="N238" s="20">
        <v>1.66</v>
      </c>
      <c r="O238" s="20">
        <f t="shared" si="44"/>
        <v>1.2449999999999999</v>
      </c>
      <c r="P238" s="20">
        <f t="shared" si="45"/>
        <v>0.25</v>
      </c>
      <c r="Q238" s="20">
        <f t="shared" si="46"/>
        <v>0.1875</v>
      </c>
      <c r="R238" s="20">
        <f t="shared" si="47"/>
        <v>0.25</v>
      </c>
      <c r="S238" s="20">
        <f t="shared" si="48"/>
        <v>0.1875</v>
      </c>
      <c r="T238" s="20">
        <f t="shared" si="49"/>
        <v>0.23</v>
      </c>
      <c r="U238" s="20">
        <f t="shared" si="52"/>
        <v>5.2450000000000001</v>
      </c>
      <c r="V238" s="21">
        <f t="shared" si="55"/>
        <v>0.62249999999999994</v>
      </c>
      <c r="W238" s="21">
        <f t="shared" si="50"/>
        <v>1.2275</v>
      </c>
      <c r="X238" s="21">
        <f t="shared" si="53"/>
        <v>1.1047500000000001</v>
      </c>
      <c r="Y238" s="20">
        <f t="shared" si="56"/>
        <v>2.6225000000000001</v>
      </c>
      <c r="Z238" s="20">
        <f t="shared" si="51"/>
        <v>3.2275</v>
      </c>
      <c r="AA238" s="20">
        <f t="shared" si="54"/>
        <v>2.9047500000000004</v>
      </c>
    </row>
    <row r="239" spans="9:27" x14ac:dyDescent="0.3">
      <c r="I239" s="30">
        <v>2200</v>
      </c>
      <c r="J239" s="30" t="s">
        <v>56</v>
      </c>
      <c r="K239" s="31" t="s">
        <v>269</v>
      </c>
      <c r="L239" s="19" t="s">
        <v>367</v>
      </c>
      <c r="M239" s="20">
        <v>1</v>
      </c>
      <c r="N239" s="20">
        <v>0.65</v>
      </c>
      <c r="O239" s="20">
        <f t="shared" si="44"/>
        <v>0.48750000000000004</v>
      </c>
      <c r="P239" s="20">
        <f t="shared" si="45"/>
        <v>0.25</v>
      </c>
      <c r="Q239" s="20">
        <f t="shared" si="46"/>
        <v>0.1875</v>
      </c>
      <c r="R239" s="20">
        <f t="shared" si="47"/>
        <v>0.25</v>
      </c>
      <c r="S239" s="20">
        <f t="shared" si="48"/>
        <v>0.1875</v>
      </c>
      <c r="T239" s="20">
        <f t="shared" si="49"/>
        <v>0.23</v>
      </c>
      <c r="U239" s="20">
        <f t="shared" si="52"/>
        <v>4.4874999999999998</v>
      </c>
      <c r="V239" s="21">
        <f t="shared" si="55"/>
        <v>0.24375000000000002</v>
      </c>
      <c r="W239" s="21">
        <f t="shared" si="50"/>
        <v>0.84875</v>
      </c>
      <c r="X239" s="21">
        <f t="shared" si="53"/>
        <v>0.76387500000000008</v>
      </c>
      <c r="Y239" s="20">
        <f t="shared" si="56"/>
        <v>2.2437499999999999</v>
      </c>
      <c r="Z239" s="20">
        <f t="shared" si="51"/>
        <v>2.8487499999999999</v>
      </c>
      <c r="AA239" s="20">
        <f t="shared" si="54"/>
        <v>2.5638749999999999</v>
      </c>
    </row>
    <row r="240" spans="9:27" x14ac:dyDescent="0.3">
      <c r="I240" s="30">
        <v>2201</v>
      </c>
      <c r="J240" s="30" t="s">
        <v>56</v>
      </c>
      <c r="K240" s="31" t="s">
        <v>270</v>
      </c>
      <c r="L240" s="19" t="s">
        <v>367</v>
      </c>
      <c r="M240" s="20">
        <v>1</v>
      </c>
      <c r="N240" s="20">
        <v>0.9</v>
      </c>
      <c r="O240" s="20">
        <f t="shared" si="44"/>
        <v>0.67500000000000004</v>
      </c>
      <c r="P240" s="20">
        <f t="shared" si="45"/>
        <v>0.25</v>
      </c>
      <c r="Q240" s="20">
        <f t="shared" si="46"/>
        <v>0.1875</v>
      </c>
      <c r="R240" s="20">
        <f t="shared" si="47"/>
        <v>0.25</v>
      </c>
      <c r="S240" s="20">
        <f t="shared" si="48"/>
        <v>0.1875</v>
      </c>
      <c r="T240" s="20">
        <f t="shared" si="49"/>
        <v>0.23</v>
      </c>
      <c r="U240" s="20">
        <f t="shared" si="52"/>
        <v>4.6749999999999998</v>
      </c>
      <c r="V240" s="21">
        <f t="shared" si="55"/>
        <v>0.33750000000000002</v>
      </c>
      <c r="W240" s="21">
        <f t="shared" si="50"/>
        <v>0.9425</v>
      </c>
      <c r="X240" s="21">
        <f t="shared" si="53"/>
        <v>0.84825000000000006</v>
      </c>
      <c r="Y240" s="20">
        <f t="shared" si="56"/>
        <v>2.3374999999999999</v>
      </c>
      <c r="Z240" s="20">
        <f t="shared" si="51"/>
        <v>2.9424999999999999</v>
      </c>
      <c r="AA240" s="20">
        <f t="shared" si="54"/>
        <v>2.64825</v>
      </c>
    </row>
    <row r="241" spans="9:27" x14ac:dyDescent="0.3">
      <c r="I241" s="32">
        <v>2202</v>
      </c>
      <c r="J241" s="32" t="s">
        <v>56</v>
      </c>
      <c r="K241" s="33" t="s">
        <v>271</v>
      </c>
      <c r="L241" s="22" t="s">
        <v>370</v>
      </c>
      <c r="M241" s="20">
        <v>2</v>
      </c>
      <c r="N241" s="20">
        <v>1.04</v>
      </c>
      <c r="O241" s="20">
        <f t="shared" si="44"/>
        <v>0.93600000000000005</v>
      </c>
      <c r="P241" s="20">
        <f t="shared" si="45"/>
        <v>0.25</v>
      </c>
      <c r="Q241" s="20">
        <f t="shared" si="46"/>
        <v>0.22500000000000001</v>
      </c>
      <c r="R241" s="20">
        <f t="shared" si="47"/>
        <v>0.25</v>
      </c>
      <c r="S241" s="20">
        <f t="shared" si="48"/>
        <v>0.22500000000000001</v>
      </c>
      <c r="T241" s="20">
        <f t="shared" si="49"/>
        <v>0.23</v>
      </c>
      <c r="U241" s="20">
        <f t="shared" si="52"/>
        <v>4.9359999999999999</v>
      </c>
      <c r="V241" s="21">
        <f t="shared" si="55"/>
        <v>0.46800000000000003</v>
      </c>
      <c r="W241" s="21">
        <f t="shared" si="50"/>
        <v>1.1480000000000001</v>
      </c>
      <c r="X241" s="21">
        <f t="shared" si="53"/>
        <v>1.0332000000000001</v>
      </c>
      <c r="Y241" s="20">
        <f t="shared" si="56"/>
        <v>2.468</v>
      </c>
      <c r="Z241" s="20">
        <f t="shared" si="51"/>
        <v>3.1480000000000001</v>
      </c>
      <c r="AA241" s="20">
        <f t="shared" si="54"/>
        <v>2.8331999999999997</v>
      </c>
    </row>
    <row r="242" spans="9:27" x14ac:dyDescent="0.3">
      <c r="I242" s="30">
        <v>2203</v>
      </c>
      <c r="J242" s="30" t="s">
        <v>56</v>
      </c>
      <c r="K242" s="31" t="s">
        <v>272</v>
      </c>
      <c r="L242" s="19" t="s">
        <v>367</v>
      </c>
      <c r="M242" s="20">
        <v>1</v>
      </c>
      <c r="N242" s="20">
        <v>4.58</v>
      </c>
      <c r="O242" s="20">
        <f t="shared" si="44"/>
        <v>3.4350000000000001</v>
      </c>
      <c r="P242" s="20">
        <f t="shared" si="45"/>
        <v>0.25</v>
      </c>
      <c r="Q242" s="20">
        <f t="shared" si="46"/>
        <v>0.1875</v>
      </c>
      <c r="R242" s="20">
        <f t="shared" si="47"/>
        <v>0.25</v>
      </c>
      <c r="S242" s="20">
        <f t="shared" si="48"/>
        <v>0.1875</v>
      </c>
      <c r="T242" s="20">
        <f t="shared" si="49"/>
        <v>0.23</v>
      </c>
      <c r="U242" s="20">
        <f t="shared" si="52"/>
        <v>7.4350000000000005</v>
      </c>
      <c r="V242" s="21">
        <f t="shared" si="55"/>
        <v>1.7175</v>
      </c>
      <c r="W242" s="21">
        <f t="shared" si="50"/>
        <v>2.3224999999999998</v>
      </c>
      <c r="X242" s="21">
        <f t="shared" si="53"/>
        <v>2.0902499999999997</v>
      </c>
      <c r="Y242" s="20">
        <f t="shared" si="56"/>
        <v>3.7175000000000007</v>
      </c>
      <c r="Z242" s="20">
        <f t="shared" si="51"/>
        <v>4.3225000000000016</v>
      </c>
      <c r="AA242" s="20">
        <f t="shared" si="54"/>
        <v>3.8902500000000013</v>
      </c>
    </row>
    <row r="243" spans="9:27" x14ac:dyDescent="0.3">
      <c r="I243" s="30">
        <v>2204</v>
      </c>
      <c r="J243" s="30" t="s">
        <v>56</v>
      </c>
      <c r="K243" s="31" t="s">
        <v>273</v>
      </c>
      <c r="L243" s="19" t="s">
        <v>367</v>
      </c>
      <c r="M243" s="20">
        <v>1</v>
      </c>
      <c r="N243" s="20">
        <v>1.1200000000000001</v>
      </c>
      <c r="O243" s="20">
        <f t="shared" si="44"/>
        <v>0.84000000000000008</v>
      </c>
      <c r="P243" s="20">
        <f t="shared" si="45"/>
        <v>0.25</v>
      </c>
      <c r="Q243" s="20">
        <f t="shared" si="46"/>
        <v>0.1875</v>
      </c>
      <c r="R243" s="20">
        <f t="shared" si="47"/>
        <v>0.25</v>
      </c>
      <c r="S243" s="20">
        <f t="shared" si="48"/>
        <v>0.1875</v>
      </c>
      <c r="T243" s="20">
        <f t="shared" si="49"/>
        <v>0.23</v>
      </c>
      <c r="U243" s="20">
        <f t="shared" si="52"/>
        <v>4.84</v>
      </c>
      <c r="V243" s="21">
        <f t="shared" si="55"/>
        <v>0.42</v>
      </c>
      <c r="W243" s="21">
        <f t="shared" si="50"/>
        <v>1.0249999999999999</v>
      </c>
      <c r="X243" s="21">
        <f t="shared" si="53"/>
        <v>0.92249999999999988</v>
      </c>
      <c r="Y243" s="20">
        <f t="shared" si="56"/>
        <v>2.42</v>
      </c>
      <c r="Z243" s="20">
        <f t="shared" si="51"/>
        <v>3.0249999999999999</v>
      </c>
      <c r="AA243" s="20">
        <f t="shared" si="54"/>
        <v>2.7225000000000001</v>
      </c>
    </row>
    <row r="244" spans="9:27" x14ac:dyDescent="0.3">
      <c r="I244" s="30">
        <v>2205</v>
      </c>
      <c r="J244" s="30" t="s">
        <v>56</v>
      </c>
      <c r="K244" s="31" t="s">
        <v>274</v>
      </c>
      <c r="L244" s="19" t="s">
        <v>367</v>
      </c>
      <c r="M244" s="20">
        <v>1</v>
      </c>
      <c r="N244" s="20">
        <v>1.18</v>
      </c>
      <c r="O244" s="20">
        <f t="shared" si="44"/>
        <v>0.88500000000000001</v>
      </c>
      <c r="P244" s="20">
        <f t="shared" si="45"/>
        <v>0.25</v>
      </c>
      <c r="Q244" s="20">
        <f t="shared" si="46"/>
        <v>0.1875</v>
      </c>
      <c r="R244" s="20">
        <f t="shared" si="47"/>
        <v>0.25</v>
      </c>
      <c r="S244" s="20">
        <f t="shared" si="48"/>
        <v>0.1875</v>
      </c>
      <c r="T244" s="20">
        <f t="shared" si="49"/>
        <v>0.23</v>
      </c>
      <c r="U244" s="20">
        <f t="shared" si="52"/>
        <v>4.8849999999999998</v>
      </c>
      <c r="V244" s="21">
        <f t="shared" si="55"/>
        <v>0.4425</v>
      </c>
      <c r="W244" s="21">
        <f t="shared" si="50"/>
        <v>1.0474999999999999</v>
      </c>
      <c r="X244" s="21">
        <f t="shared" si="53"/>
        <v>0.94274999999999987</v>
      </c>
      <c r="Y244" s="20">
        <f t="shared" si="56"/>
        <v>2.4424999999999999</v>
      </c>
      <c r="Z244" s="20">
        <f t="shared" si="51"/>
        <v>3.0474999999999999</v>
      </c>
      <c r="AA244" s="20">
        <f t="shared" si="54"/>
        <v>2.7427499999999996</v>
      </c>
    </row>
    <row r="245" spans="9:27" x14ac:dyDescent="0.3">
      <c r="I245" s="30">
        <v>2206</v>
      </c>
      <c r="J245" s="30" t="s">
        <v>56</v>
      </c>
      <c r="K245" s="31" t="s">
        <v>275</v>
      </c>
      <c r="L245" s="19" t="s">
        <v>367</v>
      </c>
      <c r="M245" s="20">
        <v>1</v>
      </c>
      <c r="N245" s="20">
        <v>1.31</v>
      </c>
      <c r="O245" s="20">
        <f t="shared" si="44"/>
        <v>0.98250000000000004</v>
      </c>
      <c r="P245" s="20">
        <f t="shared" si="45"/>
        <v>0.25</v>
      </c>
      <c r="Q245" s="20">
        <f t="shared" si="46"/>
        <v>0.1875</v>
      </c>
      <c r="R245" s="20">
        <f t="shared" si="47"/>
        <v>0.25</v>
      </c>
      <c r="S245" s="20">
        <f t="shared" si="48"/>
        <v>0.1875</v>
      </c>
      <c r="T245" s="20">
        <f t="shared" si="49"/>
        <v>0.23</v>
      </c>
      <c r="U245" s="20">
        <f t="shared" si="52"/>
        <v>4.9824999999999999</v>
      </c>
      <c r="V245" s="21">
        <f t="shared" si="55"/>
        <v>0.49125000000000002</v>
      </c>
      <c r="W245" s="21">
        <f t="shared" si="50"/>
        <v>1.0962499999999999</v>
      </c>
      <c r="X245" s="21">
        <f t="shared" si="53"/>
        <v>0.98662499999999997</v>
      </c>
      <c r="Y245" s="20">
        <f t="shared" si="56"/>
        <v>2.49125</v>
      </c>
      <c r="Z245" s="20">
        <f t="shared" si="51"/>
        <v>3.0962499999999999</v>
      </c>
      <c r="AA245" s="20">
        <f t="shared" si="54"/>
        <v>2.7866250000000004</v>
      </c>
    </row>
    <row r="246" spans="9:27" x14ac:dyDescent="0.3">
      <c r="I246" s="32">
        <v>2207</v>
      </c>
      <c r="J246" s="32" t="s">
        <v>56</v>
      </c>
      <c r="K246" s="33" t="s">
        <v>276</v>
      </c>
      <c r="L246" s="22" t="s">
        <v>369</v>
      </c>
      <c r="M246" s="20">
        <v>4</v>
      </c>
      <c r="N246" s="20">
        <v>1.19</v>
      </c>
      <c r="O246" s="20">
        <f t="shared" si="44"/>
        <v>3.0939999999999999</v>
      </c>
      <c r="P246" s="20">
        <f t="shared" si="45"/>
        <v>0.25</v>
      </c>
      <c r="Q246" s="20">
        <f t="shared" si="46"/>
        <v>0.65</v>
      </c>
      <c r="R246" s="20">
        <f t="shared" si="47"/>
        <v>0.25</v>
      </c>
      <c r="S246" s="20">
        <f t="shared" si="48"/>
        <v>0.65</v>
      </c>
      <c r="T246" s="20">
        <f t="shared" si="49"/>
        <v>0.23</v>
      </c>
      <c r="U246" s="20">
        <f t="shared" si="52"/>
        <v>7.0939999999999994</v>
      </c>
      <c r="V246" s="21">
        <f t="shared" si="55"/>
        <v>1.5469999999999999</v>
      </c>
      <c r="W246" s="21">
        <f t="shared" si="50"/>
        <v>3.077</v>
      </c>
      <c r="X246" s="21">
        <f t="shared" si="53"/>
        <v>2.7692999999999999</v>
      </c>
      <c r="Y246" s="20">
        <f t="shared" si="56"/>
        <v>3.5469999999999997</v>
      </c>
      <c r="Z246" s="20">
        <f t="shared" si="51"/>
        <v>5.0770000000000008</v>
      </c>
      <c r="AA246" s="20">
        <f t="shared" si="54"/>
        <v>4.569300000000001</v>
      </c>
    </row>
    <row r="247" spans="9:27" x14ac:dyDescent="0.3">
      <c r="I247" s="30">
        <v>2208</v>
      </c>
      <c r="J247" s="30" t="s">
        <v>56</v>
      </c>
      <c r="K247" s="31" t="s">
        <v>277</v>
      </c>
      <c r="L247" s="19" t="s">
        <v>367</v>
      </c>
      <c r="M247" s="20">
        <v>1</v>
      </c>
      <c r="N247" s="20">
        <v>1.3</v>
      </c>
      <c r="O247" s="20">
        <f t="shared" si="44"/>
        <v>0.97500000000000009</v>
      </c>
      <c r="P247" s="20">
        <f t="shared" si="45"/>
        <v>0.25</v>
      </c>
      <c r="Q247" s="20">
        <f t="shared" si="46"/>
        <v>0.1875</v>
      </c>
      <c r="R247" s="20">
        <f t="shared" si="47"/>
        <v>0.25</v>
      </c>
      <c r="S247" s="20">
        <f t="shared" si="48"/>
        <v>0.1875</v>
      </c>
      <c r="T247" s="20">
        <f t="shared" si="49"/>
        <v>0.23</v>
      </c>
      <c r="U247" s="20">
        <f t="shared" si="52"/>
        <v>4.9749999999999996</v>
      </c>
      <c r="V247" s="21">
        <f t="shared" si="55"/>
        <v>0.48750000000000004</v>
      </c>
      <c r="W247" s="21">
        <f t="shared" si="50"/>
        <v>1.0925</v>
      </c>
      <c r="X247" s="21">
        <f t="shared" si="53"/>
        <v>0.98325000000000007</v>
      </c>
      <c r="Y247" s="20">
        <f t="shared" si="56"/>
        <v>2.4874999999999998</v>
      </c>
      <c r="Z247" s="20">
        <f t="shared" si="51"/>
        <v>3.0924999999999998</v>
      </c>
      <c r="AA247" s="20">
        <f t="shared" si="54"/>
        <v>2.7832499999999998</v>
      </c>
    </row>
    <row r="248" spans="9:27" ht="57.6" x14ac:dyDescent="0.3">
      <c r="I248" s="32">
        <v>2216</v>
      </c>
      <c r="J248" s="32" t="s">
        <v>56</v>
      </c>
      <c r="K248" s="33" t="s">
        <v>278</v>
      </c>
      <c r="L248" s="22" t="s">
        <v>368</v>
      </c>
      <c r="M248" s="20">
        <v>3</v>
      </c>
      <c r="N248" s="20">
        <v>1.54</v>
      </c>
      <c r="O248" s="20">
        <f t="shared" si="44"/>
        <v>1.925</v>
      </c>
      <c r="P248" s="20">
        <f t="shared" si="45"/>
        <v>0.25</v>
      </c>
      <c r="Q248" s="20">
        <f t="shared" si="46"/>
        <v>0.3125</v>
      </c>
      <c r="R248" s="20">
        <f t="shared" si="47"/>
        <v>0.25</v>
      </c>
      <c r="S248" s="20">
        <f t="shared" si="48"/>
        <v>0.3125</v>
      </c>
      <c r="T248" s="20">
        <f t="shared" si="49"/>
        <v>0.23</v>
      </c>
      <c r="U248" s="20">
        <f t="shared" si="52"/>
        <v>5.9249999999999998</v>
      </c>
      <c r="V248" s="21">
        <f t="shared" si="55"/>
        <v>0.96250000000000002</v>
      </c>
      <c r="W248" s="21">
        <f t="shared" si="50"/>
        <v>1.8175000000000001</v>
      </c>
      <c r="X248" s="21">
        <f t="shared" si="53"/>
        <v>1.6357500000000003</v>
      </c>
      <c r="Y248" s="20">
        <f t="shared" si="56"/>
        <v>2.9624999999999999</v>
      </c>
      <c r="Z248" s="20">
        <f t="shared" si="51"/>
        <v>3.8174999999999999</v>
      </c>
      <c r="AA248" s="20">
        <f t="shared" si="54"/>
        <v>3.4357500000000001</v>
      </c>
    </row>
    <row r="249" spans="9:27" x14ac:dyDescent="0.3">
      <c r="I249" s="30">
        <v>3001</v>
      </c>
      <c r="J249" s="30" t="s">
        <v>279</v>
      </c>
      <c r="K249" s="31" t="s">
        <v>280</v>
      </c>
      <c r="L249" s="19" t="s">
        <v>367</v>
      </c>
      <c r="M249" s="20">
        <v>1</v>
      </c>
      <c r="N249" s="20">
        <v>0.6</v>
      </c>
      <c r="O249" s="20">
        <f t="shared" si="44"/>
        <v>0.44999999999999996</v>
      </c>
      <c r="P249" s="20">
        <f t="shared" si="45"/>
        <v>0.25</v>
      </c>
      <c r="Q249" s="20">
        <f t="shared" si="46"/>
        <v>0.1875</v>
      </c>
      <c r="R249" s="20">
        <f t="shared" si="47"/>
        <v>0.25</v>
      </c>
      <c r="S249" s="20">
        <f t="shared" si="48"/>
        <v>0.1875</v>
      </c>
      <c r="T249" s="20">
        <f t="shared" si="49"/>
        <v>0.23</v>
      </c>
      <c r="U249" s="20">
        <f t="shared" si="52"/>
        <v>4.45</v>
      </c>
      <c r="V249" s="21">
        <f t="shared" si="55"/>
        <v>0.22499999999999998</v>
      </c>
      <c r="W249" s="21">
        <f t="shared" si="50"/>
        <v>0.83</v>
      </c>
      <c r="X249" s="21">
        <f t="shared" si="53"/>
        <v>0.747</v>
      </c>
      <c r="Y249" s="20">
        <f t="shared" si="56"/>
        <v>2.2250000000000001</v>
      </c>
      <c r="Z249" s="20">
        <f t="shared" si="51"/>
        <v>2.83</v>
      </c>
      <c r="AA249" s="20">
        <f t="shared" si="54"/>
        <v>2.5470000000000002</v>
      </c>
    </row>
    <row r="250" spans="9:27" x14ac:dyDescent="0.3">
      <c r="I250" s="30">
        <v>3002</v>
      </c>
      <c r="J250" s="30" t="s">
        <v>279</v>
      </c>
      <c r="K250" s="31" t="s">
        <v>281</v>
      </c>
      <c r="L250" s="19" t="s">
        <v>367</v>
      </c>
      <c r="M250" s="20">
        <v>1</v>
      </c>
      <c r="N250" s="20">
        <v>0.41</v>
      </c>
      <c r="O250" s="20">
        <f t="shared" si="44"/>
        <v>0.3075</v>
      </c>
      <c r="P250" s="20">
        <f t="shared" si="45"/>
        <v>0.25</v>
      </c>
      <c r="Q250" s="20">
        <f t="shared" si="46"/>
        <v>0.1875</v>
      </c>
      <c r="R250" s="20">
        <f t="shared" si="47"/>
        <v>0.25</v>
      </c>
      <c r="S250" s="20">
        <f t="shared" si="48"/>
        <v>0.1875</v>
      </c>
      <c r="T250" s="20">
        <f t="shared" si="49"/>
        <v>0.23</v>
      </c>
      <c r="U250" s="20">
        <f t="shared" si="52"/>
        <v>4.3075000000000001</v>
      </c>
      <c r="V250" s="21">
        <f t="shared" si="55"/>
        <v>0.15375</v>
      </c>
      <c r="W250" s="21">
        <f t="shared" si="50"/>
        <v>0.75875000000000004</v>
      </c>
      <c r="X250" s="21">
        <f t="shared" si="53"/>
        <v>0.68287500000000012</v>
      </c>
      <c r="Y250" s="20">
        <f t="shared" si="56"/>
        <v>2.1537500000000001</v>
      </c>
      <c r="Z250" s="20">
        <f t="shared" si="51"/>
        <v>2.75875</v>
      </c>
      <c r="AA250" s="20">
        <f t="shared" si="54"/>
        <v>2.4828749999999999</v>
      </c>
    </row>
    <row r="251" spans="9:27" x14ac:dyDescent="0.3">
      <c r="I251" s="30">
        <v>3003</v>
      </c>
      <c r="J251" s="30" t="s">
        <v>279</v>
      </c>
      <c r="K251" s="31" t="s">
        <v>282</v>
      </c>
      <c r="L251" s="19" t="s">
        <v>367</v>
      </c>
      <c r="M251" s="20">
        <v>1</v>
      </c>
      <c r="N251" s="20">
        <v>0.35</v>
      </c>
      <c r="O251" s="20">
        <f t="shared" si="44"/>
        <v>0.26249999999999996</v>
      </c>
      <c r="P251" s="20">
        <f t="shared" si="45"/>
        <v>0.25</v>
      </c>
      <c r="Q251" s="20">
        <f t="shared" si="46"/>
        <v>0.1875</v>
      </c>
      <c r="R251" s="20">
        <f t="shared" si="47"/>
        <v>0.25</v>
      </c>
      <c r="S251" s="20">
        <f t="shared" si="48"/>
        <v>0.1875</v>
      </c>
      <c r="T251" s="20">
        <f t="shared" si="49"/>
        <v>0.23</v>
      </c>
      <c r="U251" s="20">
        <f t="shared" si="52"/>
        <v>4.2625000000000002</v>
      </c>
      <c r="V251" s="21">
        <f t="shared" si="55"/>
        <v>0.13124999999999998</v>
      </c>
      <c r="W251" s="21">
        <f t="shared" si="50"/>
        <v>0.73624999999999996</v>
      </c>
      <c r="X251" s="21">
        <f t="shared" si="53"/>
        <v>0.66262500000000002</v>
      </c>
      <c r="Y251" s="20">
        <f t="shared" si="56"/>
        <v>2.1312500000000001</v>
      </c>
      <c r="Z251" s="20">
        <f t="shared" si="51"/>
        <v>2.7362500000000001</v>
      </c>
      <c r="AA251" s="20">
        <f t="shared" si="54"/>
        <v>2.4626250000000001</v>
      </c>
    </row>
    <row r="252" spans="9:27" x14ac:dyDescent="0.3">
      <c r="I252" s="30">
        <v>3004</v>
      </c>
      <c r="J252" s="30" t="s">
        <v>279</v>
      </c>
      <c r="K252" s="31" t="s">
        <v>283</v>
      </c>
      <c r="L252" s="19" t="s">
        <v>367</v>
      </c>
      <c r="M252" s="20">
        <v>1</v>
      </c>
      <c r="N252" s="20">
        <v>0.68</v>
      </c>
      <c r="O252" s="20">
        <f t="shared" si="44"/>
        <v>0.51</v>
      </c>
      <c r="P252" s="20">
        <f t="shared" si="45"/>
        <v>0.25</v>
      </c>
      <c r="Q252" s="20">
        <f t="shared" si="46"/>
        <v>0.1875</v>
      </c>
      <c r="R252" s="20">
        <f t="shared" si="47"/>
        <v>0.25</v>
      </c>
      <c r="S252" s="20">
        <f t="shared" si="48"/>
        <v>0.1875</v>
      </c>
      <c r="T252" s="20">
        <f t="shared" si="49"/>
        <v>0.23</v>
      </c>
      <c r="U252" s="20">
        <f t="shared" si="52"/>
        <v>4.51</v>
      </c>
      <c r="V252" s="21">
        <f t="shared" si="55"/>
        <v>0.255</v>
      </c>
      <c r="W252" s="21">
        <f t="shared" si="50"/>
        <v>0.86</v>
      </c>
      <c r="X252" s="21">
        <f t="shared" si="53"/>
        <v>0.77400000000000002</v>
      </c>
      <c r="Y252" s="20">
        <f t="shared" si="56"/>
        <v>2.2549999999999999</v>
      </c>
      <c r="Z252" s="20">
        <f t="shared" si="51"/>
        <v>2.86</v>
      </c>
      <c r="AA252" s="20">
        <f t="shared" si="54"/>
        <v>2.5739999999999998</v>
      </c>
    </row>
    <row r="253" spans="9:27" x14ac:dyDescent="0.3">
      <c r="I253" s="30">
        <v>3005</v>
      </c>
      <c r="J253" s="30" t="s">
        <v>279</v>
      </c>
      <c r="K253" s="31" t="s">
        <v>284</v>
      </c>
      <c r="L253" s="19" t="s">
        <v>367</v>
      </c>
      <c r="M253" s="20">
        <v>1</v>
      </c>
      <c r="N253" s="20">
        <v>0.27</v>
      </c>
      <c r="O253" s="20">
        <f t="shared" si="44"/>
        <v>0.20250000000000001</v>
      </c>
      <c r="P253" s="20">
        <f t="shared" si="45"/>
        <v>0.25</v>
      </c>
      <c r="Q253" s="20">
        <f t="shared" si="46"/>
        <v>0.1875</v>
      </c>
      <c r="R253" s="20">
        <f t="shared" si="47"/>
        <v>0.25</v>
      </c>
      <c r="S253" s="20">
        <f t="shared" si="48"/>
        <v>0.1875</v>
      </c>
      <c r="T253" s="20">
        <f t="shared" si="49"/>
        <v>0.23</v>
      </c>
      <c r="U253" s="20">
        <f t="shared" si="52"/>
        <v>4.2024999999999997</v>
      </c>
      <c r="V253" s="21">
        <f t="shared" si="55"/>
        <v>0.10125000000000001</v>
      </c>
      <c r="W253" s="21">
        <f t="shared" si="50"/>
        <v>0.70625000000000004</v>
      </c>
      <c r="X253" s="21">
        <f t="shared" si="53"/>
        <v>0.63562500000000011</v>
      </c>
      <c r="Y253" s="20">
        <f t="shared" si="56"/>
        <v>2.1012499999999998</v>
      </c>
      <c r="Z253" s="20">
        <f t="shared" si="51"/>
        <v>2.7062499999999998</v>
      </c>
      <c r="AA253" s="20">
        <f t="shared" si="54"/>
        <v>2.4356249999999999</v>
      </c>
    </row>
    <row r="254" spans="9:27" x14ac:dyDescent="0.3">
      <c r="I254" s="30">
        <v>3006</v>
      </c>
      <c r="J254" s="30" t="s">
        <v>279</v>
      </c>
      <c r="K254" s="31" t="s">
        <v>285</v>
      </c>
      <c r="L254" s="19" t="s">
        <v>367</v>
      </c>
      <c r="M254" s="20">
        <v>1</v>
      </c>
      <c r="N254" s="20">
        <v>0.18</v>
      </c>
      <c r="O254" s="20">
        <f t="shared" si="44"/>
        <v>0.13500000000000001</v>
      </c>
      <c r="P254" s="20">
        <f t="shared" si="45"/>
        <v>0.25</v>
      </c>
      <c r="Q254" s="20">
        <f t="shared" si="46"/>
        <v>0.1875</v>
      </c>
      <c r="R254" s="20">
        <f t="shared" si="47"/>
        <v>0.25</v>
      </c>
      <c r="S254" s="20">
        <f t="shared" si="48"/>
        <v>0.1875</v>
      </c>
      <c r="T254" s="20">
        <f t="shared" si="49"/>
        <v>0.23</v>
      </c>
      <c r="U254" s="20">
        <f t="shared" si="52"/>
        <v>4.1349999999999998</v>
      </c>
      <c r="V254" s="21">
        <f t="shared" si="55"/>
        <v>6.7500000000000004E-2</v>
      </c>
      <c r="W254" s="21">
        <f t="shared" si="50"/>
        <v>0.67249999999999999</v>
      </c>
      <c r="X254" s="21">
        <f t="shared" si="53"/>
        <v>0.60524999999999995</v>
      </c>
      <c r="Y254" s="20">
        <f t="shared" si="56"/>
        <v>2.0674999999999999</v>
      </c>
      <c r="Z254" s="20">
        <f t="shared" si="51"/>
        <v>2.6724999999999999</v>
      </c>
      <c r="AA254" s="20">
        <f t="shared" si="54"/>
        <v>2.4052499999999997</v>
      </c>
    </row>
    <row r="255" spans="9:27" x14ac:dyDescent="0.3">
      <c r="I255" s="30">
        <v>3007</v>
      </c>
      <c r="J255" s="30" t="s">
        <v>279</v>
      </c>
      <c r="K255" s="31" t="s">
        <v>286</v>
      </c>
      <c r="L255" s="19" t="s">
        <v>367</v>
      </c>
      <c r="M255" s="20">
        <v>1</v>
      </c>
      <c r="N255" s="20">
        <v>0.44</v>
      </c>
      <c r="O255" s="20">
        <f t="shared" ref="O255:O287" si="57">IF(M255=1,(N255-(N255*0.25)),IF(M255=2,(N255-(N255*0.1)),IF(M255=3,(N255+(N255*0.25)),IF(M255=4,(N255+(N255*1.6)),0))))</f>
        <v>0.33</v>
      </c>
      <c r="P255" s="20">
        <f t="shared" ref="P255:P267" si="58">IF(J255="III",0.15,IF(J255="IV",0.25,IF(J255="V",0.25,IF(J255="VII",0.25,0))))</f>
        <v>0.25</v>
      </c>
      <c r="Q255" s="20">
        <f t="shared" ref="Q255:Q287" si="59">IF(M255=1,(P255-(P255*0.25)),IF(M255=2,(P255-(P255*0.1)),IF(M255=3,(P255+(P255*0.25)),IF(M255=4,(P255+(P255*1.6)),0))))</f>
        <v>0.1875</v>
      </c>
      <c r="R255" s="20">
        <f t="shared" ref="R255:R287" si="60">IF(J255="III",(IF($C$4="Zone 1",0.25,IF($C$4="Zone 2",0.15,(IF($C$4="Zone 3",0.1,0.05))))), (IF($C$4="Zone 1",0.5,IF($C$4="Zone 2",0.25,(IF($C$4="Zone 3",0.1,0.05))))))</f>
        <v>0.25</v>
      </c>
      <c r="S255" s="20">
        <f t="shared" ref="S255:S287" si="61">IF(M255=1,(R255-(R255*0.25)),IF(M255=2,(R255-(R255*0.1)),IF(M255=3,(R255+(R255*0.25)),IF(M255=4,(R255+(R255*1.6)),0))))</f>
        <v>0.1875</v>
      </c>
      <c r="T255" s="20">
        <f t="shared" ref="T255:T287" si="62">IF(J255="III",0.15,0.23)</f>
        <v>0.23</v>
      </c>
      <c r="U255" s="20">
        <f t="shared" si="52"/>
        <v>4.33</v>
      </c>
      <c r="V255" s="21">
        <f t="shared" si="55"/>
        <v>0.16500000000000001</v>
      </c>
      <c r="W255" s="21">
        <f t="shared" ref="W255:W287" si="63">V255+T255+S255+Q255</f>
        <v>0.77</v>
      </c>
      <c r="X255" s="21">
        <f t="shared" si="53"/>
        <v>0.69299999999999995</v>
      </c>
      <c r="Y255" s="20">
        <f t="shared" si="56"/>
        <v>2.165</v>
      </c>
      <c r="Z255" s="20">
        <f t="shared" ref="Z255:Z287" si="64">Y255+Q255+S255+T255</f>
        <v>2.77</v>
      </c>
      <c r="AA255" s="20">
        <f t="shared" si="54"/>
        <v>2.4930000000000003</v>
      </c>
    </row>
    <row r="256" spans="9:27" x14ac:dyDescent="0.3">
      <c r="I256" s="30">
        <v>3008</v>
      </c>
      <c r="J256" s="30" t="s">
        <v>279</v>
      </c>
      <c r="K256" s="31" t="s">
        <v>287</v>
      </c>
      <c r="L256" s="19" t="s">
        <v>367</v>
      </c>
      <c r="M256" s="20">
        <v>1</v>
      </c>
      <c r="N256" s="20">
        <v>0.44</v>
      </c>
      <c r="O256" s="20">
        <f t="shared" si="57"/>
        <v>0.33</v>
      </c>
      <c r="P256" s="20">
        <f t="shared" si="58"/>
        <v>0.25</v>
      </c>
      <c r="Q256" s="20">
        <f t="shared" si="59"/>
        <v>0.1875</v>
      </c>
      <c r="R256" s="20">
        <f t="shared" si="60"/>
        <v>0.25</v>
      </c>
      <c r="S256" s="20">
        <f t="shared" si="61"/>
        <v>0.1875</v>
      </c>
      <c r="T256" s="20">
        <f t="shared" si="62"/>
        <v>0.23</v>
      </c>
      <c r="U256" s="20">
        <f t="shared" ref="U256:U287" si="65">O256+4</f>
        <v>4.33</v>
      </c>
      <c r="V256" s="21">
        <f t="shared" si="55"/>
        <v>0.16500000000000001</v>
      </c>
      <c r="W256" s="21">
        <f t="shared" si="63"/>
        <v>0.77</v>
      </c>
      <c r="X256" s="21">
        <f t="shared" ref="X256:X287" si="66">IF($C$30&gt;0,W256*(100-$C$30)/100,W256)</f>
        <v>0.69299999999999995</v>
      </c>
      <c r="Y256" s="20">
        <f t="shared" si="56"/>
        <v>2.165</v>
      </c>
      <c r="Z256" s="20">
        <f t="shared" si="64"/>
        <v>2.77</v>
      </c>
      <c r="AA256" s="20">
        <f t="shared" ref="AA256:AA287" si="67">IF($C$30&gt;0,Z256*(100-$C$30)/100,Z256)</f>
        <v>2.4930000000000003</v>
      </c>
    </row>
    <row r="257" spans="9:27" x14ac:dyDescent="0.3">
      <c r="I257" s="30">
        <v>3009</v>
      </c>
      <c r="J257" s="30" t="s">
        <v>279</v>
      </c>
      <c r="K257" s="31" t="s">
        <v>288</v>
      </c>
      <c r="L257" s="19" t="s">
        <v>367</v>
      </c>
      <c r="M257" s="20">
        <v>1</v>
      </c>
      <c r="N257" s="20">
        <v>0.34</v>
      </c>
      <c r="O257" s="20">
        <f t="shared" si="57"/>
        <v>0.255</v>
      </c>
      <c r="P257" s="20">
        <f t="shared" si="58"/>
        <v>0.25</v>
      </c>
      <c r="Q257" s="20">
        <f t="shared" si="59"/>
        <v>0.1875</v>
      </c>
      <c r="R257" s="20">
        <f t="shared" si="60"/>
        <v>0.25</v>
      </c>
      <c r="S257" s="20">
        <f t="shared" si="61"/>
        <v>0.1875</v>
      </c>
      <c r="T257" s="20">
        <f t="shared" si="62"/>
        <v>0.23</v>
      </c>
      <c r="U257" s="20">
        <f t="shared" si="65"/>
        <v>4.2549999999999999</v>
      </c>
      <c r="V257" s="21">
        <f t="shared" si="55"/>
        <v>0.1275</v>
      </c>
      <c r="W257" s="21">
        <f t="shared" si="63"/>
        <v>0.73250000000000004</v>
      </c>
      <c r="X257" s="21">
        <f t="shared" si="66"/>
        <v>0.65925</v>
      </c>
      <c r="Y257" s="20">
        <f t="shared" si="56"/>
        <v>2.1274999999999999</v>
      </c>
      <c r="Z257" s="20">
        <f t="shared" si="64"/>
        <v>2.7324999999999999</v>
      </c>
      <c r="AA257" s="20">
        <f t="shared" si="67"/>
        <v>2.4592499999999999</v>
      </c>
    </row>
    <row r="258" spans="9:27" x14ac:dyDescent="0.3">
      <c r="I258" s="32">
        <v>3010</v>
      </c>
      <c r="J258" s="32" t="s">
        <v>279</v>
      </c>
      <c r="K258" s="33" t="s">
        <v>289</v>
      </c>
      <c r="L258" s="22" t="s">
        <v>370</v>
      </c>
      <c r="M258" s="20">
        <v>2</v>
      </c>
      <c r="N258" s="20">
        <v>1.39</v>
      </c>
      <c r="O258" s="20">
        <f t="shared" si="57"/>
        <v>1.2509999999999999</v>
      </c>
      <c r="P258" s="20">
        <f t="shared" si="58"/>
        <v>0.25</v>
      </c>
      <c r="Q258" s="20">
        <f t="shared" si="59"/>
        <v>0.22500000000000001</v>
      </c>
      <c r="R258" s="20">
        <f t="shared" si="60"/>
        <v>0.25</v>
      </c>
      <c r="S258" s="20">
        <f t="shared" si="61"/>
        <v>0.22500000000000001</v>
      </c>
      <c r="T258" s="20">
        <f t="shared" si="62"/>
        <v>0.23</v>
      </c>
      <c r="U258" s="20">
        <f t="shared" si="65"/>
        <v>5.2509999999999994</v>
      </c>
      <c r="V258" s="21">
        <f t="shared" si="55"/>
        <v>0.62549999999999994</v>
      </c>
      <c r="W258" s="21">
        <f t="shared" si="63"/>
        <v>1.3055000000000001</v>
      </c>
      <c r="X258" s="21">
        <f t="shared" si="66"/>
        <v>1.1749499999999999</v>
      </c>
      <c r="Y258" s="20">
        <f t="shared" si="56"/>
        <v>2.6254999999999997</v>
      </c>
      <c r="Z258" s="20">
        <f t="shared" si="64"/>
        <v>3.3054999999999999</v>
      </c>
      <c r="AA258" s="20">
        <f t="shared" si="67"/>
        <v>2.9749500000000002</v>
      </c>
    </row>
    <row r="259" spans="9:27" x14ac:dyDescent="0.3">
      <c r="I259" s="30">
        <v>3011</v>
      </c>
      <c r="J259" s="30" t="s">
        <v>279</v>
      </c>
      <c r="K259" s="31" t="s">
        <v>290</v>
      </c>
      <c r="L259" s="19" t="s">
        <v>367</v>
      </c>
      <c r="M259" s="20">
        <v>1</v>
      </c>
      <c r="N259" s="20">
        <v>0.78</v>
      </c>
      <c r="O259" s="20">
        <f t="shared" si="57"/>
        <v>0.58499999999999996</v>
      </c>
      <c r="P259" s="20">
        <f t="shared" si="58"/>
        <v>0.25</v>
      </c>
      <c r="Q259" s="20">
        <f t="shared" si="59"/>
        <v>0.1875</v>
      </c>
      <c r="R259" s="20">
        <f t="shared" si="60"/>
        <v>0.25</v>
      </c>
      <c r="S259" s="20">
        <f t="shared" si="61"/>
        <v>0.1875</v>
      </c>
      <c r="T259" s="20">
        <f t="shared" si="62"/>
        <v>0.23</v>
      </c>
      <c r="U259" s="20">
        <f t="shared" si="65"/>
        <v>4.585</v>
      </c>
      <c r="V259" s="21">
        <f t="shared" si="55"/>
        <v>0.29249999999999998</v>
      </c>
      <c r="W259" s="21">
        <f t="shared" si="63"/>
        <v>0.89749999999999996</v>
      </c>
      <c r="X259" s="21">
        <f t="shared" si="66"/>
        <v>0.80774999999999997</v>
      </c>
      <c r="Y259" s="20">
        <f t="shared" si="56"/>
        <v>2.2925</v>
      </c>
      <c r="Z259" s="20">
        <f t="shared" si="64"/>
        <v>2.8975</v>
      </c>
      <c r="AA259" s="20">
        <f t="shared" si="67"/>
        <v>2.6077499999999998</v>
      </c>
    </row>
    <row r="260" spans="9:27" x14ac:dyDescent="0.3">
      <c r="I260" s="32">
        <v>3012</v>
      </c>
      <c r="J260" s="32" t="s">
        <v>279</v>
      </c>
      <c r="K260" s="33" t="s">
        <v>291</v>
      </c>
      <c r="L260" s="22" t="s">
        <v>369</v>
      </c>
      <c r="M260" s="20">
        <v>4</v>
      </c>
      <c r="N260" s="20">
        <v>0.55000000000000004</v>
      </c>
      <c r="O260" s="20">
        <f t="shared" si="57"/>
        <v>1.4300000000000002</v>
      </c>
      <c r="P260" s="20">
        <f t="shared" si="58"/>
        <v>0.25</v>
      </c>
      <c r="Q260" s="20">
        <f t="shared" si="59"/>
        <v>0.65</v>
      </c>
      <c r="R260" s="20">
        <f t="shared" si="60"/>
        <v>0.25</v>
      </c>
      <c r="S260" s="20">
        <f t="shared" si="61"/>
        <v>0.65</v>
      </c>
      <c r="T260" s="20">
        <f t="shared" si="62"/>
        <v>0.23</v>
      </c>
      <c r="U260" s="20">
        <f t="shared" si="65"/>
        <v>5.43</v>
      </c>
      <c r="V260" s="21">
        <f t="shared" si="55"/>
        <v>0.71499999999999997</v>
      </c>
      <c r="W260" s="21">
        <f t="shared" si="63"/>
        <v>2.2450000000000001</v>
      </c>
      <c r="X260" s="21">
        <f t="shared" si="66"/>
        <v>2.0205000000000002</v>
      </c>
      <c r="Y260" s="20">
        <f t="shared" si="56"/>
        <v>2.7149999999999999</v>
      </c>
      <c r="Z260" s="20">
        <f t="shared" si="64"/>
        <v>4.2450000000000001</v>
      </c>
      <c r="AA260" s="20">
        <f t="shared" si="67"/>
        <v>3.8205</v>
      </c>
    </row>
    <row r="261" spans="9:27" x14ac:dyDescent="0.3">
      <c r="I261" s="30">
        <v>3013</v>
      </c>
      <c r="J261" s="30" t="s">
        <v>279</v>
      </c>
      <c r="K261" s="31" t="s">
        <v>292</v>
      </c>
      <c r="L261" s="19" t="s">
        <v>367</v>
      </c>
      <c r="M261" s="20">
        <v>1</v>
      </c>
      <c r="N261" s="20">
        <v>0.15</v>
      </c>
      <c r="O261" s="20">
        <f t="shared" si="57"/>
        <v>0.11249999999999999</v>
      </c>
      <c r="P261" s="20">
        <f t="shared" si="58"/>
        <v>0.25</v>
      </c>
      <c r="Q261" s="20">
        <f t="shared" si="59"/>
        <v>0.1875</v>
      </c>
      <c r="R261" s="20">
        <f t="shared" si="60"/>
        <v>0.25</v>
      </c>
      <c r="S261" s="20">
        <f t="shared" si="61"/>
        <v>0.1875</v>
      </c>
      <c r="T261" s="20">
        <f t="shared" si="62"/>
        <v>0.23</v>
      </c>
      <c r="U261" s="20">
        <f t="shared" si="65"/>
        <v>4.1124999999999998</v>
      </c>
      <c r="V261" s="21">
        <f t="shared" si="55"/>
        <v>5.6249999999999994E-2</v>
      </c>
      <c r="W261" s="21">
        <f t="shared" si="63"/>
        <v>0.66125</v>
      </c>
      <c r="X261" s="21">
        <f t="shared" si="66"/>
        <v>0.59512500000000002</v>
      </c>
      <c r="Y261" s="20">
        <f t="shared" si="56"/>
        <v>2.0562499999999999</v>
      </c>
      <c r="Z261" s="20">
        <f t="shared" si="64"/>
        <v>2.6612499999999999</v>
      </c>
      <c r="AA261" s="20">
        <f t="shared" si="67"/>
        <v>2.3951249999999997</v>
      </c>
    </row>
    <row r="262" spans="9:27" x14ac:dyDescent="0.3">
      <c r="I262" s="30">
        <v>3014</v>
      </c>
      <c r="J262" s="30" t="s">
        <v>279</v>
      </c>
      <c r="K262" s="31" t="s">
        <v>293</v>
      </c>
      <c r="L262" s="19" t="s">
        <v>367</v>
      </c>
      <c r="M262" s="20">
        <v>1</v>
      </c>
      <c r="N262" s="20">
        <v>0.62</v>
      </c>
      <c r="O262" s="20">
        <f t="shared" si="57"/>
        <v>0.46499999999999997</v>
      </c>
      <c r="P262" s="20">
        <f t="shared" si="58"/>
        <v>0.25</v>
      </c>
      <c r="Q262" s="20">
        <f t="shared" si="59"/>
        <v>0.1875</v>
      </c>
      <c r="R262" s="20">
        <f t="shared" si="60"/>
        <v>0.25</v>
      </c>
      <c r="S262" s="20">
        <f t="shared" si="61"/>
        <v>0.1875</v>
      </c>
      <c r="T262" s="20">
        <f t="shared" si="62"/>
        <v>0.23</v>
      </c>
      <c r="U262" s="20">
        <f t="shared" si="65"/>
        <v>4.4649999999999999</v>
      </c>
      <c r="V262" s="21">
        <f t="shared" si="55"/>
        <v>0.23249999999999996</v>
      </c>
      <c r="W262" s="21">
        <f t="shared" si="63"/>
        <v>0.83749999999999991</v>
      </c>
      <c r="X262" s="21">
        <f t="shared" si="66"/>
        <v>0.75374999999999981</v>
      </c>
      <c r="Y262" s="20">
        <f t="shared" si="56"/>
        <v>2.2324999999999999</v>
      </c>
      <c r="Z262" s="20">
        <f t="shared" si="64"/>
        <v>2.8374999999999999</v>
      </c>
      <c r="AA262" s="20">
        <f t="shared" si="67"/>
        <v>2.55375</v>
      </c>
    </row>
    <row r="263" spans="9:27" x14ac:dyDescent="0.3">
      <c r="I263" s="30">
        <v>3015</v>
      </c>
      <c r="J263" s="30" t="s">
        <v>279</v>
      </c>
      <c r="K263" s="31" t="s">
        <v>294</v>
      </c>
      <c r="L263" s="19" t="s">
        <v>367</v>
      </c>
      <c r="M263" s="20">
        <v>1</v>
      </c>
      <c r="N263" s="20">
        <v>0.7</v>
      </c>
      <c r="O263" s="20">
        <f t="shared" si="57"/>
        <v>0.52499999999999991</v>
      </c>
      <c r="P263" s="20">
        <f t="shared" si="58"/>
        <v>0.25</v>
      </c>
      <c r="Q263" s="20">
        <f t="shared" si="59"/>
        <v>0.1875</v>
      </c>
      <c r="R263" s="20">
        <f t="shared" si="60"/>
        <v>0.25</v>
      </c>
      <c r="S263" s="20">
        <f t="shared" si="61"/>
        <v>0.1875</v>
      </c>
      <c r="T263" s="20">
        <f t="shared" si="62"/>
        <v>0.23</v>
      </c>
      <c r="U263" s="20">
        <f t="shared" si="65"/>
        <v>4.5250000000000004</v>
      </c>
      <c r="V263" s="21">
        <f t="shared" si="55"/>
        <v>0.26249999999999996</v>
      </c>
      <c r="W263" s="21">
        <f t="shared" si="63"/>
        <v>0.86749999999999994</v>
      </c>
      <c r="X263" s="21">
        <f t="shared" si="66"/>
        <v>0.78074999999999983</v>
      </c>
      <c r="Y263" s="20">
        <f t="shared" si="56"/>
        <v>2.2625000000000002</v>
      </c>
      <c r="Z263" s="20">
        <f t="shared" si="64"/>
        <v>2.8675000000000002</v>
      </c>
      <c r="AA263" s="20">
        <f t="shared" si="67"/>
        <v>2.5807500000000001</v>
      </c>
    </row>
    <row r="264" spans="9:27" x14ac:dyDescent="0.3">
      <c r="I264" s="30">
        <v>3016</v>
      </c>
      <c r="J264" s="30" t="s">
        <v>279</v>
      </c>
      <c r="K264" s="31" t="s">
        <v>295</v>
      </c>
      <c r="L264" s="19" t="s">
        <v>367</v>
      </c>
      <c r="M264" s="20">
        <v>1</v>
      </c>
      <c r="N264" s="20">
        <v>2.0099999999999998</v>
      </c>
      <c r="O264" s="20">
        <f t="shared" si="57"/>
        <v>1.5074999999999998</v>
      </c>
      <c r="P264" s="20">
        <f t="shared" si="58"/>
        <v>0.25</v>
      </c>
      <c r="Q264" s="20">
        <f t="shared" si="59"/>
        <v>0.1875</v>
      </c>
      <c r="R264" s="20">
        <f t="shared" si="60"/>
        <v>0.25</v>
      </c>
      <c r="S264" s="20">
        <f t="shared" si="61"/>
        <v>0.1875</v>
      </c>
      <c r="T264" s="20">
        <f t="shared" si="62"/>
        <v>0.23</v>
      </c>
      <c r="U264" s="20">
        <f t="shared" si="65"/>
        <v>5.5075000000000003</v>
      </c>
      <c r="V264" s="21">
        <f t="shared" si="55"/>
        <v>0.75375000000000003</v>
      </c>
      <c r="W264" s="21">
        <f t="shared" si="63"/>
        <v>1.3587500000000001</v>
      </c>
      <c r="X264" s="21">
        <f t="shared" si="66"/>
        <v>1.2228750000000002</v>
      </c>
      <c r="Y264" s="20">
        <f t="shared" si="56"/>
        <v>2.7537500000000001</v>
      </c>
      <c r="Z264" s="20">
        <f t="shared" si="64"/>
        <v>3.3587500000000001</v>
      </c>
      <c r="AA264" s="20">
        <f t="shared" si="67"/>
        <v>3.0228750000000004</v>
      </c>
    </row>
    <row r="265" spans="9:27" x14ac:dyDescent="0.3">
      <c r="I265" s="30">
        <v>3017</v>
      </c>
      <c r="J265" s="30" t="s">
        <v>279</v>
      </c>
      <c r="K265" s="31" t="s">
        <v>296</v>
      </c>
      <c r="L265" s="19" t="s">
        <v>367</v>
      </c>
      <c r="M265" s="20">
        <v>1</v>
      </c>
      <c r="N265" s="20">
        <v>1.51</v>
      </c>
      <c r="O265" s="20">
        <f t="shared" si="57"/>
        <v>1.1325000000000001</v>
      </c>
      <c r="P265" s="20">
        <f t="shared" si="58"/>
        <v>0.25</v>
      </c>
      <c r="Q265" s="20">
        <f t="shared" si="59"/>
        <v>0.1875</v>
      </c>
      <c r="R265" s="20">
        <f t="shared" si="60"/>
        <v>0.25</v>
      </c>
      <c r="S265" s="20">
        <f t="shared" si="61"/>
        <v>0.1875</v>
      </c>
      <c r="T265" s="20">
        <f t="shared" si="62"/>
        <v>0.23</v>
      </c>
      <c r="U265" s="20">
        <f t="shared" si="65"/>
        <v>5.1325000000000003</v>
      </c>
      <c r="V265" s="21">
        <f t="shared" si="55"/>
        <v>0.56625000000000003</v>
      </c>
      <c r="W265" s="21">
        <f t="shared" si="63"/>
        <v>1.1712500000000001</v>
      </c>
      <c r="X265" s="21">
        <f t="shared" si="66"/>
        <v>1.054125</v>
      </c>
      <c r="Y265" s="20">
        <f t="shared" si="56"/>
        <v>2.5662500000000001</v>
      </c>
      <c r="Z265" s="20">
        <f t="shared" si="64"/>
        <v>3.1712500000000001</v>
      </c>
      <c r="AA265" s="20">
        <f t="shared" si="67"/>
        <v>2.8541250000000002</v>
      </c>
    </row>
    <row r="266" spans="9:27" x14ac:dyDescent="0.3">
      <c r="I266" s="32">
        <v>3018</v>
      </c>
      <c r="J266" s="32" t="s">
        <v>279</v>
      </c>
      <c r="K266" s="33" t="s">
        <v>297</v>
      </c>
      <c r="L266" s="22" t="s">
        <v>368</v>
      </c>
      <c r="M266" s="20">
        <v>3</v>
      </c>
      <c r="N266" s="20">
        <v>0.68</v>
      </c>
      <c r="O266" s="20">
        <f t="shared" si="57"/>
        <v>0.85000000000000009</v>
      </c>
      <c r="P266" s="20">
        <f t="shared" si="58"/>
        <v>0.25</v>
      </c>
      <c r="Q266" s="20">
        <f t="shared" si="59"/>
        <v>0.3125</v>
      </c>
      <c r="R266" s="20">
        <f t="shared" si="60"/>
        <v>0.25</v>
      </c>
      <c r="S266" s="20">
        <f t="shared" si="61"/>
        <v>0.3125</v>
      </c>
      <c r="T266" s="20">
        <f t="shared" si="62"/>
        <v>0.23</v>
      </c>
      <c r="U266" s="20">
        <f t="shared" si="65"/>
        <v>4.8499999999999996</v>
      </c>
      <c r="V266" s="21">
        <f t="shared" si="55"/>
        <v>0.42500000000000004</v>
      </c>
      <c r="W266" s="21">
        <f t="shared" si="63"/>
        <v>1.28</v>
      </c>
      <c r="X266" s="21">
        <f t="shared" si="66"/>
        <v>1.1520000000000001</v>
      </c>
      <c r="Y266" s="20">
        <f t="shared" si="56"/>
        <v>2.4249999999999998</v>
      </c>
      <c r="Z266" s="20">
        <f t="shared" si="64"/>
        <v>3.28</v>
      </c>
      <c r="AA266" s="20">
        <f t="shared" si="67"/>
        <v>2.952</v>
      </c>
    </row>
    <row r="267" spans="9:27" x14ac:dyDescent="0.3">
      <c r="I267" s="30">
        <v>3019</v>
      </c>
      <c r="J267" s="30" t="s">
        <v>279</v>
      </c>
      <c r="K267" s="31" t="s">
        <v>298</v>
      </c>
      <c r="L267" s="19" t="s">
        <v>367</v>
      </c>
      <c r="M267" s="20">
        <v>1</v>
      </c>
      <c r="N267" s="20">
        <v>0.6</v>
      </c>
      <c r="O267" s="20">
        <f t="shared" si="57"/>
        <v>0.44999999999999996</v>
      </c>
      <c r="P267" s="20">
        <f t="shared" si="58"/>
        <v>0.25</v>
      </c>
      <c r="Q267" s="20">
        <f t="shared" si="59"/>
        <v>0.1875</v>
      </c>
      <c r="R267" s="20">
        <f t="shared" si="60"/>
        <v>0.25</v>
      </c>
      <c r="S267" s="20">
        <f t="shared" si="61"/>
        <v>0.1875</v>
      </c>
      <c r="T267" s="20">
        <f t="shared" si="62"/>
        <v>0.23</v>
      </c>
      <c r="U267" s="20">
        <f t="shared" si="65"/>
        <v>4.45</v>
      </c>
      <c r="V267" s="21">
        <f t="shared" si="55"/>
        <v>0.22499999999999998</v>
      </c>
      <c r="W267" s="21">
        <f t="shared" si="63"/>
        <v>0.83</v>
      </c>
      <c r="X267" s="21">
        <f t="shared" si="66"/>
        <v>0.747</v>
      </c>
      <c r="Y267" s="20">
        <f t="shared" si="56"/>
        <v>2.2250000000000001</v>
      </c>
      <c r="Z267" s="20">
        <f t="shared" si="64"/>
        <v>2.83</v>
      </c>
      <c r="AA267" s="20">
        <f t="shared" si="67"/>
        <v>2.5470000000000002</v>
      </c>
    </row>
    <row r="268" spans="9:27" ht="43.2" x14ac:dyDescent="0.3">
      <c r="I268" s="30">
        <v>4001</v>
      </c>
      <c r="J268" s="30" t="s">
        <v>299</v>
      </c>
      <c r="K268" s="31" t="s">
        <v>300</v>
      </c>
      <c r="L268" s="19" t="s">
        <v>367</v>
      </c>
      <c r="M268" s="20">
        <v>1</v>
      </c>
      <c r="N268" s="20">
        <v>0.55000000000000004</v>
      </c>
      <c r="O268" s="20">
        <f t="shared" si="57"/>
        <v>0.41250000000000003</v>
      </c>
      <c r="P268" s="20">
        <v>0.35</v>
      </c>
      <c r="Q268" s="20">
        <f t="shared" si="59"/>
        <v>0.26249999999999996</v>
      </c>
      <c r="R268" s="20">
        <f t="shared" si="60"/>
        <v>0.25</v>
      </c>
      <c r="S268" s="20">
        <f t="shared" si="61"/>
        <v>0.1875</v>
      </c>
      <c r="T268" s="20">
        <f t="shared" si="62"/>
        <v>0.23</v>
      </c>
      <c r="U268" s="20">
        <f t="shared" si="65"/>
        <v>4.4124999999999996</v>
      </c>
      <c r="V268" s="21">
        <f t="shared" si="55"/>
        <v>0.20625000000000004</v>
      </c>
      <c r="W268" s="21">
        <f t="shared" si="63"/>
        <v>0.88624999999999998</v>
      </c>
      <c r="X268" s="21">
        <f t="shared" si="66"/>
        <v>0.79762500000000003</v>
      </c>
      <c r="Y268" s="20">
        <f t="shared" si="56"/>
        <v>2.2062499999999998</v>
      </c>
      <c r="Z268" s="20">
        <f t="shared" si="64"/>
        <v>2.88625</v>
      </c>
      <c r="AA268" s="20">
        <f t="shared" si="67"/>
        <v>2.5976249999999999</v>
      </c>
    </row>
    <row r="269" spans="9:27" ht="43.2" x14ac:dyDescent="0.3">
      <c r="I269" s="30">
        <v>4002</v>
      </c>
      <c r="J269" s="30" t="s">
        <v>299</v>
      </c>
      <c r="K269" s="31" t="s">
        <v>301</v>
      </c>
      <c r="L269" s="19" t="s">
        <v>367</v>
      </c>
      <c r="M269" s="20">
        <v>1</v>
      </c>
      <c r="N269" s="20">
        <v>1.1200000000000001</v>
      </c>
      <c r="O269" s="20">
        <f t="shared" si="57"/>
        <v>0.84000000000000008</v>
      </c>
      <c r="P269" s="20">
        <v>0.35</v>
      </c>
      <c r="Q269" s="20">
        <f t="shared" si="59"/>
        <v>0.26249999999999996</v>
      </c>
      <c r="R269" s="20">
        <f t="shared" si="60"/>
        <v>0.25</v>
      </c>
      <c r="S269" s="20">
        <f t="shared" si="61"/>
        <v>0.1875</v>
      </c>
      <c r="T269" s="20">
        <f t="shared" si="62"/>
        <v>0.23</v>
      </c>
      <c r="U269" s="20">
        <f t="shared" si="65"/>
        <v>4.84</v>
      </c>
      <c r="V269" s="21">
        <f t="shared" si="55"/>
        <v>0.42</v>
      </c>
      <c r="W269" s="21">
        <f t="shared" si="63"/>
        <v>1.1000000000000001</v>
      </c>
      <c r="X269" s="21">
        <f t="shared" si="66"/>
        <v>0.9900000000000001</v>
      </c>
      <c r="Y269" s="20">
        <f t="shared" si="56"/>
        <v>2.42</v>
      </c>
      <c r="Z269" s="20">
        <f t="shared" si="64"/>
        <v>3.1</v>
      </c>
      <c r="AA269" s="20">
        <f t="shared" si="67"/>
        <v>2.79</v>
      </c>
    </row>
    <row r="270" spans="9:27" ht="43.2" x14ac:dyDescent="0.3">
      <c r="I270" s="32">
        <v>4012</v>
      </c>
      <c r="J270" s="32" t="s">
        <v>299</v>
      </c>
      <c r="K270" s="33" t="s">
        <v>302</v>
      </c>
      <c r="L270" s="22" t="s">
        <v>370</v>
      </c>
      <c r="M270" s="20">
        <v>2</v>
      </c>
      <c r="N270" s="20">
        <v>1.94</v>
      </c>
      <c r="O270" s="20">
        <f t="shared" si="57"/>
        <v>1.746</v>
      </c>
      <c r="P270" s="20">
        <v>1.5</v>
      </c>
      <c r="Q270" s="20">
        <f t="shared" si="59"/>
        <v>1.35</v>
      </c>
      <c r="R270" s="20">
        <f t="shared" si="60"/>
        <v>0.25</v>
      </c>
      <c r="S270" s="20">
        <f t="shared" si="61"/>
        <v>0.22500000000000001</v>
      </c>
      <c r="T270" s="20">
        <f t="shared" si="62"/>
        <v>0.23</v>
      </c>
      <c r="U270" s="20">
        <f t="shared" si="65"/>
        <v>5.7460000000000004</v>
      </c>
      <c r="V270" s="21">
        <f t="shared" si="55"/>
        <v>0.873</v>
      </c>
      <c r="W270" s="21">
        <f t="shared" si="63"/>
        <v>2.6779999999999999</v>
      </c>
      <c r="X270" s="21">
        <f t="shared" si="66"/>
        <v>2.4101999999999997</v>
      </c>
      <c r="Y270" s="20">
        <f t="shared" si="56"/>
        <v>2.8730000000000002</v>
      </c>
      <c r="Z270" s="20">
        <f t="shared" si="64"/>
        <v>4.6780000000000008</v>
      </c>
      <c r="AA270" s="20">
        <f t="shared" si="67"/>
        <v>4.2102000000000013</v>
      </c>
    </row>
    <row r="271" spans="9:27" ht="43.2" x14ac:dyDescent="0.3">
      <c r="I271" s="30">
        <v>4013</v>
      </c>
      <c r="J271" s="30" t="s">
        <v>299</v>
      </c>
      <c r="K271" s="31" t="s">
        <v>303</v>
      </c>
      <c r="L271" s="19" t="s">
        <v>367</v>
      </c>
      <c r="M271" s="20">
        <v>1</v>
      </c>
      <c r="N271" s="20">
        <v>2.16</v>
      </c>
      <c r="O271" s="20">
        <f t="shared" si="57"/>
        <v>1.62</v>
      </c>
      <c r="P271" s="20">
        <v>1.5</v>
      </c>
      <c r="Q271" s="20">
        <f t="shared" si="59"/>
        <v>1.125</v>
      </c>
      <c r="R271" s="20">
        <f t="shared" si="60"/>
        <v>0.25</v>
      </c>
      <c r="S271" s="20">
        <f t="shared" si="61"/>
        <v>0.1875</v>
      </c>
      <c r="T271" s="20">
        <f t="shared" si="62"/>
        <v>0.23</v>
      </c>
      <c r="U271" s="20">
        <f t="shared" si="65"/>
        <v>5.62</v>
      </c>
      <c r="V271" s="21">
        <f t="shared" si="55"/>
        <v>0.81</v>
      </c>
      <c r="W271" s="21">
        <f t="shared" si="63"/>
        <v>2.3525</v>
      </c>
      <c r="X271" s="21">
        <f t="shared" si="66"/>
        <v>2.1172499999999999</v>
      </c>
      <c r="Y271" s="20">
        <f t="shared" si="56"/>
        <v>2.81</v>
      </c>
      <c r="Z271" s="20">
        <f t="shared" si="64"/>
        <v>4.3525000000000009</v>
      </c>
      <c r="AA271" s="20">
        <f t="shared" si="67"/>
        <v>3.917250000000001</v>
      </c>
    </row>
    <row r="272" spans="9:27" ht="43.2" x14ac:dyDescent="0.3">
      <c r="I272" s="30">
        <v>4003</v>
      </c>
      <c r="J272" s="30" t="s">
        <v>299</v>
      </c>
      <c r="K272" s="31" t="s">
        <v>304</v>
      </c>
      <c r="L272" s="19" t="s">
        <v>367</v>
      </c>
      <c r="M272" s="20">
        <v>1</v>
      </c>
      <c r="N272" s="20">
        <v>2.4900000000000002</v>
      </c>
      <c r="O272" s="20">
        <f t="shared" si="57"/>
        <v>1.8675000000000002</v>
      </c>
      <c r="P272" s="20">
        <v>0.35</v>
      </c>
      <c r="Q272" s="20">
        <f t="shared" si="59"/>
        <v>0.26249999999999996</v>
      </c>
      <c r="R272" s="20">
        <f t="shared" si="60"/>
        <v>0.25</v>
      </c>
      <c r="S272" s="20">
        <f t="shared" si="61"/>
        <v>0.1875</v>
      </c>
      <c r="T272" s="20">
        <f t="shared" si="62"/>
        <v>0.23</v>
      </c>
      <c r="U272" s="20">
        <f t="shared" si="65"/>
        <v>5.8674999999999997</v>
      </c>
      <c r="V272" s="21">
        <f t="shared" si="55"/>
        <v>0.93374999999999997</v>
      </c>
      <c r="W272" s="21">
        <f t="shared" si="63"/>
        <v>1.61375</v>
      </c>
      <c r="X272" s="21">
        <f t="shared" si="66"/>
        <v>1.4523750000000002</v>
      </c>
      <c r="Y272" s="20">
        <f t="shared" si="56"/>
        <v>2.9337499999999999</v>
      </c>
      <c r="Z272" s="20">
        <f t="shared" si="64"/>
        <v>3.61375</v>
      </c>
      <c r="AA272" s="20">
        <f t="shared" si="67"/>
        <v>3.2523750000000002</v>
      </c>
    </row>
    <row r="273" spans="9:27" ht="43.2" x14ac:dyDescent="0.3">
      <c r="I273" s="30">
        <v>4014</v>
      </c>
      <c r="J273" s="30" t="s">
        <v>299</v>
      </c>
      <c r="K273" s="31" t="s">
        <v>305</v>
      </c>
      <c r="L273" s="19" t="s">
        <v>367</v>
      </c>
      <c r="M273" s="20">
        <v>1</v>
      </c>
      <c r="N273" s="20">
        <v>5.33</v>
      </c>
      <c r="O273" s="20">
        <f t="shared" si="57"/>
        <v>3.9975000000000001</v>
      </c>
      <c r="P273" s="20">
        <v>1.5</v>
      </c>
      <c r="Q273" s="20">
        <f t="shared" si="59"/>
        <v>1.125</v>
      </c>
      <c r="R273" s="20">
        <f t="shared" si="60"/>
        <v>0.25</v>
      </c>
      <c r="S273" s="20">
        <f t="shared" si="61"/>
        <v>0.1875</v>
      </c>
      <c r="T273" s="20">
        <f t="shared" si="62"/>
        <v>0.23</v>
      </c>
      <c r="U273" s="20">
        <f t="shared" si="65"/>
        <v>7.9975000000000005</v>
      </c>
      <c r="V273" s="21">
        <f t="shared" si="55"/>
        <v>1.99875</v>
      </c>
      <c r="W273" s="21">
        <f t="shared" si="63"/>
        <v>3.5412500000000002</v>
      </c>
      <c r="X273" s="21">
        <f t="shared" si="66"/>
        <v>3.1871250000000004</v>
      </c>
      <c r="Y273" s="20">
        <f t="shared" si="56"/>
        <v>3.9987500000000007</v>
      </c>
      <c r="Z273" s="20">
        <f t="shared" si="64"/>
        <v>5.5412500000000016</v>
      </c>
      <c r="AA273" s="20">
        <f t="shared" si="67"/>
        <v>4.9871250000000016</v>
      </c>
    </row>
    <row r="274" spans="9:27" ht="43.2" x14ac:dyDescent="0.3">
      <c r="I274" s="32">
        <v>4015</v>
      </c>
      <c r="J274" s="32" t="s">
        <v>299</v>
      </c>
      <c r="K274" s="33" t="s">
        <v>306</v>
      </c>
      <c r="L274" s="22" t="s">
        <v>369</v>
      </c>
      <c r="M274" s="20">
        <v>4</v>
      </c>
      <c r="N274" s="20">
        <v>5</v>
      </c>
      <c r="O274" s="20">
        <f t="shared" si="57"/>
        <v>13</v>
      </c>
      <c r="P274" s="20">
        <v>1.5</v>
      </c>
      <c r="Q274" s="20">
        <f t="shared" si="59"/>
        <v>3.9000000000000004</v>
      </c>
      <c r="R274" s="20">
        <f t="shared" si="60"/>
        <v>0.25</v>
      </c>
      <c r="S274" s="20">
        <f t="shared" si="61"/>
        <v>0.65</v>
      </c>
      <c r="T274" s="20">
        <f t="shared" si="62"/>
        <v>0.23</v>
      </c>
      <c r="U274" s="20">
        <f t="shared" si="65"/>
        <v>17</v>
      </c>
      <c r="V274" s="21">
        <f t="shared" si="55"/>
        <v>6.5</v>
      </c>
      <c r="W274" s="21">
        <f t="shared" si="63"/>
        <v>11.280000000000001</v>
      </c>
      <c r="X274" s="21">
        <f t="shared" si="66"/>
        <v>10.152000000000001</v>
      </c>
      <c r="Y274" s="20">
        <f t="shared" si="56"/>
        <v>8.5</v>
      </c>
      <c r="Z274" s="20">
        <f t="shared" si="64"/>
        <v>13.280000000000001</v>
      </c>
      <c r="AA274" s="20">
        <f t="shared" si="67"/>
        <v>11.952</v>
      </c>
    </row>
    <row r="275" spans="9:27" ht="43.2" x14ac:dyDescent="0.3">
      <c r="I275" s="30">
        <v>4004</v>
      </c>
      <c r="J275" s="30" t="s">
        <v>299</v>
      </c>
      <c r="K275" s="31" t="s">
        <v>307</v>
      </c>
      <c r="L275" s="19" t="s">
        <v>367</v>
      </c>
      <c r="M275" s="69">
        <v>1</v>
      </c>
      <c r="N275" s="69">
        <v>3.72</v>
      </c>
      <c r="O275" s="69">
        <f t="shared" si="57"/>
        <v>2.79</v>
      </c>
      <c r="P275" s="69">
        <v>0.35</v>
      </c>
      <c r="Q275" s="69">
        <f t="shared" si="59"/>
        <v>0.26249999999999996</v>
      </c>
      <c r="R275" s="69">
        <f t="shared" ref="R275" si="68">R274</f>
        <v>0.25</v>
      </c>
      <c r="S275" s="69">
        <f t="shared" si="61"/>
        <v>0.1875</v>
      </c>
      <c r="T275" s="69">
        <f t="shared" ref="T275" si="69">IF(K275="III",0.15,0.23)</f>
        <v>0.23</v>
      </c>
      <c r="U275" s="20">
        <f t="shared" si="65"/>
        <v>6.79</v>
      </c>
      <c r="V275" s="21">
        <f t="shared" si="55"/>
        <v>1.395</v>
      </c>
      <c r="W275" s="21">
        <f t="shared" si="63"/>
        <v>2.0750000000000002</v>
      </c>
      <c r="X275" s="21">
        <f t="shared" si="66"/>
        <v>1.8675000000000004</v>
      </c>
      <c r="Y275" s="20">
        <f t="shared" si="56"/>
        <v>3.395</v>
      </c>
      <c r="Z275" s="20">
        <f t="shared" si="64"/>
        <v>4.0750000000000002</v>
      </c>
      <c r="AA275" s="20">
        <f t="shared" si="67"/>
        <v>3.6675</v>
      </c>
    </row>
    <row r="276" spans="9:27" ht="28.8" x14ac:dyDescent="0.3">
      <c r="I276" s="30">
        <v>4005</v>
      </c>
      <c r="J276" s="30" t="s">
        <v>299</v>
      </c>
      <c r="K276" s="31" t="s">
        <v>308</v>
      </c>
      <c r="L276" s="19" t="s">
        <v>367</v>
      </c>
      <c r="M276" s="20">
        <v>1</v>
      </c>
      <c r="N276" s="20">
        <v>0.86</v>
      </c>
      <c r="O276" s="20">
        <f t="shared" si="57"/>
        <v>0.64500000000000002</v>
      </c>
      <c r="P276" s="20">
        <v>0.35</v>
      </c>
      <c r="Q276" s="20">
        <f t="shared" si="59"/>
        <v>0.26249999999999996</v>
      </c>
      <c r="R276" s="20">
        <f t="shared" si="60"/>
        <v>0.25</v>
      </c>
      <c r="S276" s="20">
        <f t="shared" si="61"/>
        <v>0.1875</v>
      </c>
      <c r="T276" s="20">
        <f t="shared" si="62"/>
        <v>0.23</v>
      </c>
      <c r="U276" s="20">
        <f t="shared" si="65"/>
        <v>4.6449999999999996</v>
      </c>
      <c r="V276" s="21">
        <f t="shared" si="55"/>
        <v>0.32250000000000001</v>
      </c>
      <c r="W276" s="21">
        <f t="shared" si="63"/>
        <v>1.0024999999999999</v>
      </c>
      <c r="X276" s="21">
        <f t="shared" si="66"/>
        <v>0.90225</v>
      </c>
      <c r="Y276" s="20">
        <f t="shared" si="56"/>
        <v>2.3224999999999998</v>
      </c>
      <c r="Z276" s="20">
        <f t="shared" si="64"/>
        <v>3.0024999999999999</v>
      </c>
      <c r="AA276" s="20">
        <f t="shared" si="67"/>
        <v>2.7022500000000003</v>
      </c>
    </row>
    <row r="277" spans="9:27" ht="28.8" x14ac:dyDescent="0.3">
      <c r="I277" s="30">
        <v>4016</v>
      </c>
      <c r="J277" s="30" t="s">
        <v>299</v>
      </c>
      <c r="K277" s="31" t="s">
        <v>309</v>
      </c>
      <c r="L277" s="19" t="s">
        <v>367</v>
      </c>
      <c r="M277" s="20">
        <v>1</v>
      </c>
      <c r="N277" s="20">
        <v>0.8</v>
      </c>
      <c r="O277" s="20">
        <f t="shared" si="57"/>
        <v>0.60000000000000009</v>
      </c>
      <c r="P277" s="20">
        <v>1.5</v>
      </c>
      <c r="Q277" s="20">
        <f t="shared" si="59"/>
        <v>1.125</v>
      </c>
      <c r="R277" s="20">
        <f t="shared" si="60"/>
        <v>0.25</v>
      </c>
      <c r="S277" s="20">
        <f t="shared" si="61"/>
        <v>0.1875</v>
      </c>
      <c r="T277" s="20">
        <f t="shared" si="62"/>
        <v>0.23</v>
      </c>
      <c r="U277" s="20">
        <f t="shared" si="65"/>
        <v>4.5999999999999996</v>
      </c>
      <c r="V277" s="21">
        <f t="shared" si="55"/>
        <v>0.30000000000000004</v>
      </c>
      <c r="W277" s="21">
        <f t="shared" si="63"/>
        <v>1.8425</v>
      </c>
      <c r="X277" s="21">
        <f t="shared" si="66"/>
        <v>1.6582499999999998</v>
      </c>
      <c r="Y277" s="20">
        <f t="shared" si="56"/>
        <v>2.2999999999999998</v>
      </c>
      <c r="Z277" s="20">
        <f t="shared" si="64"/>
        <v>3.8424999999999998</v>
      </c>
      <c r="AA277" s="20">
        <f t="shared" si="67"/>
        <v>3.45825</v>
      </c>
    </row>
    <row r="278" spans="9:27" x14ac:dyDescent="0.3">
      <c r="I278" s="30">
        <v>4006</v>
      </c>
      <c r="J278" s="30" t="s">
        <v>299</v>
      </c>
      <c r="K278" s="31" t="s">
        <v>310</v>
      </c>
      <c r="L278" s="19" t="s">
        <v>367</v>
      </c>
      <c r="M278" s="20">
        <v>1</v>
      </c>
      <c r="N278" s="20">
        <v>5.12</v>
      </c>
      <c r="O278" s="20">
        <f t="shared" si="57"/>
        <v>3.84</v>
      </c>
      <c r="P278" s="20">
        <v>0.35</v>
      </c>
      <c r="Q278" s="20">
        <f t="shared" si="59"/>
        <v>0.26249999999999996</v>
      </c>
      <c r="R278" s="20">
        <f t="shared" si="60"/>
        <v>0.25</v>
      </c>
      <c r="S278" s="20">
        <f t="shared" si="61"/>
        <v>0.1875</v>
      </c>
      <c r="T278" s="20">
        <f t="shared" si="62"/>
        <v>0.23</v>
      </c>
      <c r="U278" s="20">
        <f t="shared" si="65"/>
        <v>7.84</v>
      </c>
      <c r="V278" s="21">
        <f t="shared" si="55"/>
        <v>1.92</v>
      </c>
      <c r="W278" s="21">
        <f t="shared" si="63"/>
        <v>2.5999999999999996</v>
      </c>
      <c r="X278" s="21">
        <f t="shared" si="66"/>
        <v>2.34</v>
      </c>
      <c r="Y278" s="20">
        <f t="shared" si="56"/>
        <v>3.92</v>
      </c>
      <c r="Z278" s="20">
        <f t="shared" si="64"/>
        <v>4.6000000000000005</v>
      </c>
      <c r="AA278" s="20">
        <f t="shared" si="67"/>
        <v>4.1400000000000006</v>
      </c>
    </row>
    <row r="279" spans="9:27" x14ac:dyDescent="0.3">
      <c r="I279" s="30">
        <v>4007</v>
      </c>
      <c r="J279" s="30" t="s">
        <v>299</v>
      </c>
      <c r="K279" s="31" t="s">
        <v>311</v>
      </c>
      <c r="L279" s="19" t="s">
        <v>367</v>
      </c>
      <c r="M279" s="20">
        <v>1</v>
      </c>
      <c r="N279" s="20">
        <v>1.28</v>
      </c>
      <c r="O279" s="20">
        <f t="shared" si="57"/>
        <v>0.96</v>
      </c>
      <c r="P279" s="20">
        <v>0.35</v>
      </c>
      <c r="Q279" s="20">
        <f t="shared" si="59"/>
        <v>0.26249999999999996</v>
      </c>
      <c r="R279" s="20">
        <f t="shared" si="60"/>
        <v>0.25</v>
      </c>
      <c r="S279" s="20">
        <f t="shared" si="61"/>
        <v>0.1875</v>
      </c>
      <c r="T279" s="20">
        <f t="shared" si="62"/>
        <v>0.23</v>
      </c>
      <c r="U279" s="20">
        <f t="shared" si="65"/>
        <v>4.96</v>
      </c>
      <c r="V279" s="21">
        <f t="shared" si="55"/>
        <v>0.48</v>
      </c>
      <c r="W279" s="21">
        <f t="shared" si="63"/>
        <v>1.1599999999999999</v>
      </c>
      <c r="X279" s="21">
        <f t="shared" si="66"/>
        <v>1.0439999999999998</v>
      </c>
      <c r="Y279" s="20">
        <f t="shared" si="56"/>
        <v>2.48</v>
      </c>
      <c r="Z279" s="20">
        <f t="shared" si="64"/>
        <v>3.1599999999999997</v>
      </c>
      <c r="AA279" s="20">
        <f t="shared" si="67"/>
        <v>2.8439999999999999</v>
      </c>
    </row>
    <row r="280" spans="9:27" x14ac:dyDescent="0.3">
      <c r="I280" s="30">
        <v>4017</v>
      </c>
      <c r="J280" s="30" t="s">
        <v>299</v>
      </c>
      <c r="K280" s="31" t="s">
        <v>312</v>
      </c>
      <c r="L280" s="19" t="s">
        <v>367</v>
      </c>
      <c r="M280" s="20">
        <v>1</v>
      </c>
      <c r="N280" s="20">
        <v>11.86</v>
      </c>
      <c r="O280" s="20">
        <f t="shared" si="57"/>
        <v>8.8949999999999996</v>
      </c>
      <c r="P280" s="20">
        <v>1.5</v>
      </c>
      <c r="Q280" s="20">
        <f t="shared" si="59"/>
        <v>1.125</v>
      </c>
      <c r="R280" s="20">
        <f t="shared" si="60"/>
        <v>0.25</v>
      </c>
      <c r="S280" s="20">
        <f t="shared" si="61"/>
        <v>0.1875</v>
      </c>
      <c r="T280" s="20">
        <f t="shared" si="62"/>
        <v>0.23</v>
      </c>
      <c r="U280" s="20">
        <f t="shared" si="65"/>
        <v>12.895</v>
      </c>
      <c r="V280" s="21">
        <f t="shared" si="55"/>
        <v>4.4474999999999998</v>
      </c>
      <c r="W280" s="21">
        <f t="shared" si="63"/>
        <v>5.99</v>
      </c>
      <c r="X280" s="21">
        <f t="shared" si="66"/>
        <v>5.391</v>
      </c>
      <c r="Y280" s="20">
        <f t="shared" si="56"/>
        <v>6.4474999999999998</v>
      </c>
      <c r="Z280" s="20">
        <f t="shared" si="64"/>
        <v>7.99</v>
      </c>
      <c r="AA280" s="20">
        <f t="shared" si="67"/>
        <v>7.1909999999999998</v>
      </c>
    </row>
    <row r="281" spans="9:27" x14ac:dyDescent="0.3">
      <c r="I281" s="30">
        <v>4018</v>
      </c>
      <c r="J281" s="30" t="s">
        <v>299</v>
      </c>
      <c r="K281" s="31" t="s">
        <v>313</v>
      </c>
      <c r="L281" s="19" t="s">
        <v>367</v>
      </c>
      <c r="M281" s="20">
        <v>1</v>
      </c>
      <c r="N281" s="20">
        <v>3.12</v>
      </c>
      <c r="O281" s="20">
        <f t="shared" si="57"/>
        <v>2.34</v>
      </c>
      <c r="P281" s="20">
        <v>1.5</v>
      </c>
      <c r="Q281" s="20">
        <f t="shared" si="59"/>
        <v>1.125</v>
      </c>
      <c r="R281" s="20">
        <f t="shared" si="60"/>
        <v>0.25</v>
      </c>
      <c r="S281" s="20">
        <f t="shared" si="61"/>
        <v>0.1875</v>
      </c>
      <c r="T281" s="20">
        <f t="shared" si="62"/>
        <v>0.23</v>
      </c>
      <c r="U281" s="20">
        <f t="shared" si="65"/>
        <v>6.34</v>
      </c>
      <c r="V281" s="21">
        <f t="shared" si="55"/>
        <v>1.17</v>
      </c>
      <c r="W281" s="21">
        <f t="shared" si="63"/>
        <v>2.7124999999999999</v>
      </c>
      <c r="X281" s="21">
        <f t="shared" si="66"/>
        <v>2.4412500000000001</v>
      </c>
      <c r="Y281" s="20">
        <f t="shared" si="56"/>
        <v>3.17</v>
      </c>
      <c r="Z281" s="20">
        <f t="shared" si="64"/>
        <v>4.7125000000000004</v>
      </c>
      <c r="AA281" s="20">
        <f t="shared" si="67"/>
        <v>4.2412500000000009</v>
      </c>
    </row>
    <row r="282" spans="9:27" x14ac:dyDescent="0.3">
      <c r="I282" s="30">
        <v>4019</v>
      </c>
      <c r="J282" s="30" t="s">
        <v>299</v>
      </c>
      <c r="K282" s="31" t="s">
        <v>314</v>
      </c>
      <c r="L282" s="19" t="s">
        <v>367</v>
      </c>
      <c r="M282" s="20">
        <v>1</v>
      </c>
      <c r="N282" s="20">
        <v>1.97</v>
      </c>
      <c r="O282" s="20">
        <f t="shared" si="57"/>
        <v>1.4775</v>
      </c>
      <c r="P282" s="20">
        <v>1.5</v>
      </c>
      <c r="Q282" s="20">
        <f t="shared" si="59"/>
        <v>1.125</v>
      </c>
      <c r="R282" s="20">
        <f t="shared" si="60"/>
        <v>0.25</v>
      </c>
      <c r="S282" s="20">
        <f t="shared" si="61"/>
        <v>0.1875</v>
      </c>
      <c r="T282" s="20">
        <f t="shared" si="62"/>
        <v>0.23</v>
      </c>
      <c r="U282" s="20">
        <f t="shared" si="65"/>
        <v>5.4775</v>
      </c>
      <c r="V282" s="21">
        <f t="shared" si="55"/>
        <v>0.73875000000000002</v>
      </c>
      <c r="W282" s="21">
        <f t="shared" si="63"/>
        <v>2.28125</v>
      </c>
      <c r="X282" s="21">
        <f t="shared" si="66"/>
        <v>2.0531250000000001</v>
      </c>
      <c r="Y282" s="20">
        <f t="shared" si="56"/>
        <v>2.73875</v>
      </c>
      <c r="Z282" s="20">
        <f t="shared" si="64"/>
        <v>4.28125</v>
      </c>
      <c r="AA282" s="20">
        <f t="shared" si="67"/>
        <v>3.8531249999999999</v>
      </c>
    </row>
    <row r="283" spans="9:27" ht="28.8" x14ac:dyDescent="0.3">
      <c r="I283" s="30">
        <v>4008</v>
      </c>
      <c r="J283" s="30" t="s">
        <v>315</v>
      </c>
      <c r="K283" s="31" t="s">
        <v>316</v>
      </c>
      <c r="L283" s="19" t="s">
        <v>367</v>
      </c>
      <c r="M283" s="20">
        <v>1</v>
      </c>
      <c r="N283" s="20">
        <v>1.9</v>
      </c>
      <c r="O283" s="20">
        <f t="shared" si="57"/>
        <v>1.4249999999999998</v>
      </c>
      <c r="P283" s="20">
        <f>IF(J283="III",0.15,IF(J283="IV",0.25,IF(J283="V",0.25,IF(J283="VII",0.25,0))))</f>
        <v>0.25</v>
      </c>
      <c r="Q283" s="20">
        <f t="shared" si="59"/>
        <v>0.1875</v>
      </c>
      <c r="R283" s="20">
        <f t="shared" si="60"/>
        <v>0.25</v>
      </c>
      <c r="S283" s="20">
        <f t="shared" si="61"/>
        <v>0.1875</v>
      </c>
      <c r="T283" s="20">
        <f t="shared" si="62"/>
        <v>0.23</v>
      </c>
      <c r="U283" s="20">
        <f t="shared" si="65"/>
        <v>5.4249999999999998</v>
      </c>
      <c r="V283" s="21">
        <f t="shared" si="55"/>
        <v>0.71249999999999991</v>
      </c>
      <c r="W283" s="21">
        <f t="shared" si="63"/>
        <v>1.3174999999999999</v>
      </c>
      <c r="X283" s="21">
        <f t="shared" si="66"/>
        <v>1.1857499999999999</v>
      </c>
      <c r="Y283" s="20">
        <f t="shared" si="56"/>
        <v>2.7124999999999999</v>
      </c>
      <c r="Z283" s="20">
        <f t="shared" si="64"/>
        <v>3.3174999999999999</v>
      </c>
      <c r="AA283" s="20">
        <f t="shared" si="67"/>
        <v>2.9857499999999999</v>
      </c>
    </row>
    <row r="284" spans="9:27" x14ac:dyDescent="0.3">
      <c r="I284" s="30">
        <v>4009</v>
      </c>
      <c r="J284" s="30" t="s">
        <v>315</v>
      </c>
      <c r="K284" s="31" t="s">
        <v>317</v>
      </c>
      <c r="L284" s="19" t="s">
        <v>367</v>
      </c>
      <c r="M284" s="20">
        <v>1</v>
      </c>
      <c r="N284" s="20">
        <v>0.88</v>
      </c>
      <c r="O284" s="20">
        <f t="shared" si="57"/>
        <v>0.66</v>
      </c>
      <c r="P284" s="20">
        <f>IF(J284="III",0.15,IF(J284="IV",0.25,IF(J284="V",0.25,IF(J284="VII",0.25,0))))</f>
        <v>0.25</v>
      </c>
      <c r="Q284" s="20">
        <f t="shared" si="59"/>
        <v>0.1875</v>
      </c>
      <c r="R284" s="20">
        <f t="shared" si="60"/>
        <v>0.25</v>
      </c>
      <c r="S284" s="20">
        <f t="shared" si="61"/>
        <v>0.1875</v>
      </c>
      <c r="T284" s="20">
        <f t="shared" si="62"/>
        <v>0.23</v>
      </c>
      <c r="U284" s="20">
        <f t="shared" si="65"/>
        <v>4.66</v>
      </c>
      <c r="V284" s="21">
        <f t="shared" si="55"/>
        <v>0.33</v>
      </c>
      <c r="W284" s="21">
        <f t="shared" si="63"/>
        <v>0.93500000000000005</v>
      </c>
      <c r="X284" s="21">
        <f t="shared" si="66"/>
        <v>0.84150000000000003</v>
      </c>
      <c r="Y284" s="20">
        <f t="shared" si="56"/>
        <v>2.33</v>
      </c>
      <c r="Z284" s="20">
        <f t="shared" si="64"/>
        <v>2.9350000000000001</v>
      </c>
      <c r="AA284" s="20">
        <f t="shared" si="67"/>
        <v>2.6414999999999997</v>
      </c>
    </row>
    <row r="285" spans="9:27" x14ac:dyDescent="0.3">
      <c r="I285" s="30">
        <v>4010</v>
      </c>
      <c r="J285" s="30" t="s">
        <v>315</v>
      </c>
      <c r="K285" s="31" t="s">
        <v>318</v>
      </c>
      <c r="L285" s="19" t="s">
        <v>367</v>
      </c>
      <c r="M285" s="20">
        <v>1</v>
      </c>
      <c r="N285" s="20">
        <v>1.2</v>
      </c>
      <c r="O285" s="20">
        <f t="shared" si="57"/>
        <v>0.89999999999999991</v>
      </c>
      <c r="P285" s="20">
        <f>IF(J285="III",0.15,IF(J285="IV",0.25,IF(J285="V",0.25,IF(J285="VII",0.25,0))))</f>
        <v>0.25</v>
      </c>
      <c r="Q285" s="20">
        <f t="shared" si="59"/>
        <v>0.1875</v>
      </c>
      <c r="R285" s="20">
        <f t="shared" si="60"/>
        <v>0.25</v>
      </c>
      <c r="S285" s="20">
        <f t="shared" si="61"/>
        <v>0.1875</v>
      </c>
      <c r="T285" s="20">
        <f t="shared" si="62"/>
        <v>0.23</v>
      </c>
      <c r="U285" s="20">
        <f t="shared" si="65"/>
        <v>4.9000000000000004</v>
      </c>
      <c r="V285" s="21">
        <f t="shared" si="55"/>
        <v>0.44999999999999996</v>
      </c>
      <c r="W285" s="21">
        <f t="shared" si="63"/>
        <v>1.0549999999999999</v>
      </c>
      <c r="X285" s="21">
        <f t="shared" si="66"/>
        <v>0.9494999999999999</v>
      </c>
      <c r="Y285" s="20">
        <f t="shared" si="56"/>
        <v>2.4500000000000002</v>
      </c>
      <c r="Z285" s="20">
        <f t="shared" si="64"/>
        <v>3.0550000000000002</v>
      </c>
      <c r="AA285" s="20">
        <f t="shared" si="67"/>
        <v>2.7494999999999998</v>
      </c>
    </row>
    <row r="286" spans="9:27" x14ac:dyDescent="0.3">
      <c r="I286" s="30">
        <v>4011</v>
      </c>
      <c r="J286" s="30" t="s">
        <v>315</v>
      </c>
      <c r="K286" s="31" t="s">
        <v>319</v>
      </c>
      <c r="L286" s="19" t="s">
        <v>367</v>
      </c>
      <c r="M286" s="20">
        <v>1</v>
      </c>
      <c r="N286" s="20">
        <v>0.59</v>
      </c>
      <c r="O286" s="20">
        <f t="shared" si="57"/>
        <v>0.4425</v>
      </c>
      <c r="P286" s="20">
        <f>IF(J286="III",0.15,IF(J286="IV",0.25,IF(J286="V",0.25,IF(J286="VII",0.25,0))))</f>
        <v>0.25</v>
      </c>
      <c r="Q286" s="20">
        <f t="shared" si="59"/>
        <v>0.1875</v>
      </c>
      <c r="R286" s="20">
        <f t="shared" si="60"/>
        <v>0.25</v>
      </c>
      <c r="S286" s="20">
        <f t="shared" si="61"/>
        <v>0.1875</v>
      </c>
      <c r="T286" s="20">
        <f t="shared" si="62"/>
        <v>0.23</v>
      </c>
      <c r="U286" s="20">
        <f t="shared" si="65"/>
        <v>4.4424999999999999</v>
      </c>
      <c r="V286" s="21">
        <f t="shared" si="55"/>
        <v>0.22125</v>
      </c>
      <c r="W286" s="21">
        <f t="shared" si="63"/>
        <v>0.82625000000000004</v>
      </c>
      <c r="X286" s="21">
        <f t="shared" si="66"/>
        <v>0.74362499999999998</v>
      </c>
      <c r="Y286" s="20">
        <f t="shared" si="56"/>
        <v>2.2212499999999999</v>
      </c>
      <c r="Z286" s="20">
        <f t="shared" si="64"/>
        <v>2.8262499999999999</v>
      </c>
      <c r="AA286" s="20">
        <f t="shared" si="67"/>
        <v>2.543625</v>
      </c>
    </row>
    <row r="287" spans="9:27" x14ac:dyDescent="0.3">
      <c r="I287" s="30">
        <v>4900</v>
      </c>
      <c r="J287" s="30" t="s">
        <v>320</v>
      </c>
      <c r="K287" s="31" t="s">
        <v>321</v>
      </c>
      <c r="L287" s="19" t="s">
        <v>370</v>
      </c>
      <c r="M287" s="20">
        <v>2</v>
      </c>
      <c r="N287" s="20">
        <v>0.28999999999999998</v>
      </c>
      <c r="O287" s="20">
        <f t="shared" si="57"/>
        <v>0.26100000000000001</v>
      </c>
      <c r="P287" s="20">
        <v>0.25</v>
      </c>
      <c r="Q287" s="20">
        <f t="shared" si="59"/>
        <v>0.22500000000000001</v>
      </c>
      <c r="R287" s="20">
        <f t="shared" si="60"/>
        <v>0.25</v>
      </c>
      <c r="S287" s="20">
        <f t="shared" si="61"/>
        <v>0.22500000000000001</v>
      </c>
      <c r="T287" s="20">
        <f t="shared" si="62"/>
        <v>0.23</v>
      </c>
      <c r="U287" s="20">
        <f t="shared" si="65"/>
        <v>4.2610000000000001</v>
      </c>
      <c r="V287" s="21">
        <f t="shared" si="55"/>
        <v>0.1305</v>
      </c>
      <c r="W287" s="21">
        <f t="shared" si="63"/>
        <v>0.8105</v>
      </c>
      <c r="X287" s="21">
        <f t="shared" si="66"/>
        <v>0.72944999999999993</v>
      </c>
      <c r="Y287" s="20">
        <f t="shared" si="56"/>
        <v>2.1305000000000001</v>
      </c>
      <c r="Z287" s="20">
        <f t="shared" si="64"/>
        <v>2.8105000000000002</v>
      </c>
      <c r="AA287" s="20">
        <f t="shared" si="67"/>
        <v>2.5294500000000002</v>
      </c>
    </row>
  </sheetData>
  <sheetProtection algorithmName="SHA-512" hashValue="ooDUiYAfgxpiHRdepFQ2tL5ZFr2+AfAfc2rd+ZDxoLMu04xqQdoZnQMSgHpUfjEVtisdoDnTsPfViZbPReHptQ==" saltValue="FTn2xEeyX3hQu6EIJ9Hk5g==" spinCount="100000" sheet="1" objects="1" scenarios="1" selectLockedCells="1"/>
  <mergeCells count="25">
    <mergeCell ref="C29:D29"/>
    <mergeCell ref="Y1:AA1"/>
    <mergeCell ref="B17:C17"/>
    <mergeCell ref="B15:C15"/>
    <mergeCell ref="C4:D4"/>
    <mergeCell ref="C3:D3"/>
    <mergeCell ref="C2:D2"/>
    <mergeCell ref="B9:D9"/>
    <mergeCell ref="B7:D7"/>
    <mergeCell ref="B44:C44"/>
    <mergeCell ref="B43:C43"/>
    <mergeCell ref="B42:C42"/>
    <mergeCell ref="B33:C33"/>
    <mergeCell ref="V1:X1"/>
    <mergeCell ref="B39:C39"/>
    <mergeCell ref="B35:C35"/>
    <mergeCell ref="C30:D30"/>
    <mergeCell ref="B38:C38"/>
    <mergeCell ref="B37:C37"/>
    <mergeCell ref="B36:C36"/>
    <mergeCell ref="B34:C34"/>
    <mergeCell ref="C5:D5"/>
    <mergeCell ref="C6:D6"/>
    <mergeCell ref="B40:C40"/>
    <mergeCell ref="B41:C41"/>
  </mergeCells>
  <conditionalFormatting sqref="B20:B30">
    <cfRule type="expression" dxfId="24" priority="1">
      <formula>$D$17="Y"</formula>
    </cfRule>
  </conditionalFormatting>
  <conditionalFormatting sqref="B25">
    <cfRule type="expression" dxfId="23" priority="2">
      <formula>$D$17="N"</formula>
    </cfRule>
  </conditionalFormatting>
  <conditionalFormatting sqref="B29:C29 B19:D24 B26:D28">
    <cfRule type="expression" dxfId="22" priority="22">
      <formula>$D$17="N"</formula>
    </cfRule>
  </conditionalFormatting>
  <conditionalFormatting sqref="B33:C39 B42:C44">
    <cfRule type="uniqueValues" dxfId="21" priority="33"/>
  </conditionalFormatting>
  <conditionalFormatting sqref="B40:C40">
    <cfRule type="uniqueValues" dxfId="20" priority="5"/>
  </conditionalFormatting>
  <conditionalFormatting sqref="B41:C41">
    <cfRule type="uniqueValues" dxfId="19" priority="6"/>
  </conditionalFormatting>
  <conditionalFormatting sqref="B11:D11 B13:C13">
    <cfRule type="expression" dxfId="18" priority="25">
      <formula>$D$13="TOTAL SUM INSURED CANT BE MORE THAN Rs. 50 Crores"</formula>
    </cfRule>
  </conditionalFormatting>
  <conditionalFormatting sqref="C5:C6 C4:D4">
    <cfRule type="expression" dxfId="17" priority="18">
      <formula>$C$4="Select"</formula>
    </cfRule>
  </conditionalFormatting>
  <conditionalFormatting sqref="C20:C23">
    <cfRule type="expression" dxfId="16" priority="32">
      <formula>$D$17="YES"</formula>
    </cfRule>
  </conditionalFormatting>
  <conditionalFormatting sqref="C20:C24 C26:C28">
    <cfRule type="expression" dxfId="15" priority="12">
      <formula>$D$17="Y"</formula>
    </cfRule>
  </conditionalFormatting>
  <conditionalFormatting sqref="C26:C28">
    <cfRule type="expression" dxfId="14" priority="23">
      <formula>$D$17="YES"</formula>
    </cfRule>
  </conditionalFormatting>
  <conditionalFormatting sqref="C29">
    <cfRule type="expression" dxfId="13" priority="21">
      <formula>$D$17="N"</formula>
    </cfRule>
    <cfRule type="cellIs" dxfId="12" priority="31" operator="equal">
      <formula>"DISC/LOADING OPTION SELECTED AS -NO, FEATURE DISC/LOADING NOT TO BE TAKEN"</formula>
    </cfRule>
  </conditionalFormatting>
  <conditionalFormatting sqref="C3:D3">
    <cfRule type="expression" dxfId="11" priority="19">
      <formula>$C$3="Occupany Doesn’t Exist"</formula>
    </cfRule>
    <cfRule type="colorScale" priority="20">
      <colorScale>
        <cfvo type="min"/>
        <cfvo type="max"/>
        <color rgb="FFFF7128"/>
        <color rgb="FFFFEF9C"/>
      </colorScale>
    </cfRule>
    <cfRule type="cellIs" dxfId="10" priority="24" operator="equal">
      <formula>#N/A</formula>
    </cfRule>
  </conditionalFormatting>
  <conditionalFormatting sqref="C6:D6">
    <cfRule type="expression" dxfId="9" priority="3">
      <formula>$C$5="BSUS"</formula>
    </cfRule>
    <cfRule type="expression" dxfId="8" priority="4">
      <formula>$C$5="BLUS"</formula>
    </cfRule>
  </conditionalFormatting>
  <conditionalFormatting sqref="C30:D30">
    <cfRule type="expression" dxfId="7" priority="10">
      <formula>$D$17="Y"</formula>
    </cfRule>
  </conditionalFormatting>
  <conditionalFormatting sqref="D13">
    <cfRule type="cellIs" dxfId="6" priority="26" operator="equal">
      <formula>"TOTAL SUM INSURED CANT BE MORE THAN Rs. 50 Crores"</formula>
    </cfRule>
  </conditionalFormatting>
  <conditionalFormatting sqref="D17">
    <cfRule type="cellIs" dxfId="5" priority="27" operator="equal">
      <formula>"NO"</formula>
    </cfRule>
  </conditionalFormatting>
  <conditionalFormatting sqref="D33">
    <cfRule type="expression" dxfId="4" priority="17">
      <formula>$D$33="EQ Zone Not Selected"</formula>
    </cfRule>
  </conditionalFormatting>
  <conditionalFormatting sqref="D33:D44">
    <cfRule type="uniqueValues" dxfId="3" priority="35"/>
  </conditionalFormatting>
  <conditionalFormatting sqref="D34">
    <cfRule type="expression" dxfId="2" priority="15">
      <formula>$D$34="DISC/LOADING OPTION SELECTED AS -NO, FEATURE DISC/LOADING NOT TO BE TAKEN"</formula>
    </cfRule>
  </conditionalFormatting>
  <conditionalFormatting sqref="D35">
    <cfRule type="expression" dxfId="1" priority="16">
      <formula>$D$35="EQ Zone Not Selected"</formula>
    </cfRule>
  </conditionalFormatting>
  <conditionalFormatting sqref="D36:D38">
    <cfRule type="expression" dxfId="0" priority="14">
      <formula>$D$33="EQ Zone Not Selected"</formula>
    </cfRule>
  </conditionalFormatting>
  <dataValidations count="11">
    <dataValidation type="list" allowBlank="1" showErrorMessage="1" sqref="C24" xr:uid="{00000000-0002-0000-0000-000000000000}">
      <formula1>INDIRECT($E$2)</formula1>
    </dataValidation>
    <dataValidation type="list" allowBlank="1" showErrorMessage="1" sqref="C30" xr:uid="{00000000-0002-0000-0000-000001000000}">
      <formula1>"0.0,1.0,2.0,3.0,4.0,5.0,6.0,7.0,8.0,9.0,10.0"</formula1>
    </dataValidation>
    <dataValidation type="list" allowBlank="1" showErrorMessage="1" sqref="C4" xr:uid="{00000000-0002-0000-0000-000002000000}">
      <formula1>"Zone 1,Zone 2,Zone 3,Zone 4,Select"</formula1>
    </dataValidation>
    <dataValidation type="list" allowBlank="1" showInputMessage="1" showErrorMessage="1" sqref="D15" xr:uid="{00000000-0002-0000-0000-000003000000}">
      <formula1>"YES,NO"</formula1>
    </dataValidation>
    <dataValidation type="list" allowBlank="1" showInputMessage="1" showErrorMessage="1" prompt="Only  Enter if Feature Disc/Loading to be taken " sqref="C20:C23 C26:C28" xr:uid="{00000000-0002-0000-0000-000004000000}">
      <formula1>INDIRECT($D$17)</formula1>
    </dataValidation>
    <dataValidation type="list" allowBlank="1" showInputMessage="1" showErrorMessage="1" sqref="D17" xr:uid="{00000000-0002-0000-0000-000005000000}">
      <formula1>$F$18:$G$18</formula1>
    </dataValidation>
    <dataValidation type="list" allowBlank="1" showInputMessage="1" showErrorMessage="1" sqref="D40" xr:uid="{00000000-0002-0000-0000-000006000000}">
      <formula1>"Y,N"</formula1>
    </dataValidation>
    <dataValidation allowBlank="1" showInputMessage="1" showErrorMessage="1" prompt="Occupancy List on the right --&gt;" sqref="C2:D2" xr:uid="{00000000-0002-0000-0000-000007000000}"/>
    <dataValidation type="list" allowBlank="1" showErrorMessage="1" sqref="C6:D6" xr:uid="{00000000-0002-0000-0000-000008000000}">
      <formula1>INDIRECT($C$5)</formula1>
    </dataValidation>
    <dataValidation type="custom" operator="greaterThan" showInputMessage="1" showErrorMessage="1" error="Additional Claims Loading Seems Not Applicable for this Risk" sqref="D25" xr:uid="{00000000-0002-0000-0000-000009000000}">
      <formula1>$B$25="Please put ADDITIONAL claim loading required OVER &amp; ABOVE minimum loading as above"</formula1>
    </dataValidation>
    <dataValidation type="list" allowBlank="1" showErrorMessage="1" sqref="C5:D5" xr:uid="{00000000-0002-0000-0000-00000A000000}">
      <formula1>"BSUS, BLUS, Flexi_BS, Flexi_BL,Select"</formula1>
    </dataValidation>
  </dataValidation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3"/>
  <sheetViews>
    <sheetView workbookViewId="0">
      <selection activeCell="D14" sqref="D14"/>
    </sheetView>
  </sheetViews>
  <sheetFormatPr defaultRowHeight="14.4" x14ac:dyDescent="0.3"/>
  <sheetData>
    <row r="13" spans="4:4" x14ac:dyDescent="0.3">
      <c r="D13">
        <f>Sheet1!B25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3:H8"/>
  <sheetViews>
    <sheetView workbookViewId="0">
      <selection activeCell="D14" sqref="D14"/>
    </sheetView>
  </sheetViews>
  <sheetFormatPr defaultRowHeight="14.4" x14ac:dyDescent="0.3"/>
  <cols>
    <col min="3" max="4" width="14.33203125" bestFit="1" customWidth="1"/>
  </cols>
  <sheetData>
    <row r="3" spans="1:8" x14ac:dyDescent="0.3">
      <c r="A3" s="13" t="s">
        <v>361</v>
      </c>
      <c r="B3" s="13" t="s">
        <v>360</v>
      </c>
      <c r="C3" s="13" t="s">
        <v>357</v>
      </c>
      <c r="D3" s="14" t="s">
        <v>358</v>
      </c>
      <c r="E3" s="15" t="s">
        <v>368</v>
      </c>
      <c r="F3" s="15" t="s">
        <v>369</v>
      </c>
      <c r="G3" s="15" t="s">
        <v>367</v>
      </c>
      <c r="H3" s="15" t="s">
        <v>370</v>
      </c>
    </row>
    <row r="4" spans="1:8" x14ac:dyDescent="0.3">
      <c r="A4" s="13" t="s">
        <v>343</v>
      </c>
      <c r="B4" s="13" t="s">
        <v>343</v>
      </c>
      <c r="C4" s="104" t="s">
        <v>359</v>
      </c>
      <c r="D4" s="103" t="s">
        <v>359</v>
      </c>
      <c r="E4" s="15" t="s">
        <v>362</v>
      </c>
      <c r="F4" s="15" t="s">
        <v>362</v>
      </c>
      <c r="G4" s="15" t="s">
        <v>366</v>
      </c>
      <c r="H4" s="15" t="s">
        <v>366</v>
      </c>
    </row>
    <row r="5" spans="1:8" x14ac:dyDescent="0.3">
      <c r="A5" s="13" t="s">
        <v>344</v>
      </c>
      <c r="B5" s="13" t="s">
        <v>344</v>
      </c>
      <c r="C5" s="104"/>
      <c r="D5" s="103"/>
      <c r="E5" s="15" t="s">
        <v>363</v>
      </c>
      <c r="F5" s="15" t="s">
        <v>363</v>
      </c>
      <c r="G5" s="15" t="s">
        <v>364</v>
      </c>
      <c r="H5" s="15" t="s">
        <v>364</v>
      </c>
    </row>
    <row r="6" spans="1:8" x14ac:dyDescent="0.3">
      <c r="E6" s="15" t="s">
        <v>364</v>
      </c>
      <c r="F6" s="15" t="s">
        <v>364</v>
      </c>
      <c r="G6" s="15" t="s">
        <v>356</v>
      </c>
      <c r="H6" s="15" t="s">
        <v>356</v>
      </c>
    </row>
    <row r="7" spans="1:8" x14ac:dyDescent="0.3">
      <c r="E7" s="15" t="s">
        <v>356</v>
      </c>
      <c r="F7" s="15" t="s">
        <v>356</v>
      </c>
      <c r="G7" s="15" t="s">
        <v>365</v>
      </c>
      <c r="H7" s="15" t="s">
        <v>365</v>
      </c>
    </row>
    <row r="8" spans="1:8" x14ac:dyDescent="0.3">
      <c r="E8" s="15" t="s">
        <v>365</v>
      </c>
      <c r="F8" s="15" t="s">
        <v>365</v>
      </c>
      <c r="G8" s="15"/>
      <c r="H8" s="15"/>
    </row>
  </sheetData>
  <sheetProtection algorithmName="SHA-512" hashValue="F9I1G9cdG9PgVWxZhUoiM9QkAfA+FA/ahsUUuQqlxefQMp1/ttTXFS50d9uFVFtZeM6162bhWufZm3aeQRzhJg==" saltValue="yGsXv3WbwWxp+aA3hKUvRw==" spinCount="100000" sheet="1" objects="1" scenarios="1" selectLockedCells="1" selectUnlockedCells="1"/>
  <mergeCells count="2">
    <mergeCell ref="D4:D5"/>
    <mergeCell ref="C4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B3:L292"/>
  <sheetViews>
    <sheetView workbookViewId="0">
      <selection activeCell="D14" sqref="D14"/>
    </sheetView>
  </sheetViews>
  <sheetFormatPr defaultRowHeight="14.4" x14ac:dyDescent="0.3"/>
  <sheetData>
    <row r="3" spans="2:12" ht="57.6" x14ac:dyDescent="0.3"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25</v>
      </c>
      <c r="L3" s="4" t="s">
        <v>26</v>
      </c>
    </row>
    <row r="4" spans="2:12" ht="28.8" x14ac:dyDescent="0.3">
      <c r="B4" s="5">
        <v>1002</v>
      </c>
      <c r="C4" s="5" t="s">
        <v>27</v>
      </c>
      <c r="D4" s="6" t="s">
        <v>28</v>
      </c>
      <c r="E4" s="7">
        <v>1</v>
      </c>
      <c r="F4" s="7">
        <v>0.14000000000000001</v>
      </c>
      <c r="G4" s="7">
        <f t="shared" ref="G4:G67" si="0">IF(E4=1,(F4-(F4*0.25)),IF(E4=2,(F4-(F4*0.1)),IF(E4=3,(F4+(F4*0.25)),IF(E4=4,(F4+(F4*1.6)),0))))</f>
        <v>0.10500000000000001</v>
      </c>
      <c r="H4" s="7">
        <f t="shared" ref="H4:H67" si="1">IF(C4="III",0.15,IF(C4="IV",0.25,IF(C4="V",0.25,IF(C4="VII",0.25,0))))</f>
        <v>0.15</v>
      </c>
      <c r="I4" s="7">
        <f t="shared" ref="I4:I67" si="2">IF(E4=1,(H4-(H4*0.25)),IF(E4=2,(H4-(H4*0.1)),IF(E4=3,(H4+(H4*0.25)),IF(E4=4,(H4+(H4*1.6)),0))))</f>
        <v>0.11249999999999999</v>
      </c>
      <c r="J4" s="7">
        <f>IF([1]BSUS!F5="Zone1",0.25,IF([1]BSUS!F5="Zone2",0.15,IF([1]BSUS!F5="Zone3",0.1,IF([1]BSUS!F5="Zone4",0.05,0))))</f>
        <v>0</v>
      </c>
      <c r="K4" s="7">
        <f t="shared" ref="K4:K67" si="3">IF(E4=1,(J4-(J4*0.25)),IF(E4=2,(J4-(J4*0.1)),IF(E4=3,(J4+(J4*0.25)),IF(E4=4,(J4+(J4*1.6)),0))))</f>
        <v>0</v>
      </c>
      <c r="L4" s="7">
        <f t="shared" ref="L4:L67" si="4">IF(C4="III",0.15,0.23)</f>
        <v>0.15</v>
      </c>
    </row>
    <row r="5" spans="2:12" x14ac:dyDescent="0.3">
      <c r="B5" s="5">
        <v>1003</v>
      </c>
      <c r="C5" s="5" t="s">
        <v>27</v>
      </c>
      <c r="D5" s="6" t="s">
        <v>29</v>
      </c>
      <c r="E5" s="7">
        <v>1</v>
      </c>
      <c r="F5" s="7">
        <v>0.21</v>
      </c>
      <c r="G5" s="7">
        <f t="shared" si="0"/>
        <v>0.1575</v>
      </c>
      <c r="H5" s="7">
        <f t="shared" si="1"/>
        <v>0.15</v>
      </c>
      <c r="I5" s="7">
        <f t="shared" si="2"/>
        <v>0.11249999999999999</v>
      </c>
      <c r="J5" s="7">
        <f t="shared" ref="J5:J31" si="5">J4</f>
        <v>0</v>
      </c>
      <c r="K5" s="7">
        <f t="shared" si="3"/>
        <v>0</v>
      </c>
      <c r="L5" s="7">
        <f t="shared" si="4"/>
        <v>0.15</v>
      </c>
    </row>
    <row r="6" spans="2:12" x14ac:dyDescent="0.3">
      <c r="B6" s="5">
        <v>1004</v>
      </c>
      <c r="C6" s="5" t="s">
        <v>27</v>
      </c>
      <c r="D6" s="6" t="s">
        <v>30</v>
      </c>
      <c r="E6" s="7">
        <v>1</v>
      </c>
      <c r="F6" s="7">
        <v>0.25</v>
      </c>
      <c r="G6" s="7">
        <f t="shared" si="0"/>
        <v>0.1875</v>
      </c>
      <c r="H6" s="7">
        <f t="shared" si="1"/>
        <v>0.15</v>
      </c>
      <c r="I6" s="7">
        <f t="shared" si="2"/>
        <v>0.11249999999999999</v>
      </c>
      <c r="J6" s="7">
        <f t="shared" si="5"/>
        <v>0</v>
      </c>
      <c r="K6" s="7">
        <f t="shared" si="3"/>
        <v>0</v>
      </c>
      <c r="L6" s="7">
        <f t="shared" si="4"/>
        <v>0.15</v>
      </c>
    </row>
    <row r="7" spans="2:12" ht="28.8" x14ac:dyDescent="0.3">
      <c r="B7" s="5">
        <v>1005</v>
      </c>
      <c r="C7" s="5" t="s">
        <v>27</v>
      </c>
      <c r="D7" s="6" t="s">
        <v>31</v>
      </c>
      <c r="E7" s="7">
        <v>1</v>
      </c>
      <c r="F7" s="7">
        <v>0.22</v>
      </c>
      <c r="G7" s="7">
        <f t="shared" si="0"/>
        <v>0.16500000000000001</v>
      </c>
      <c r="H7" s="7">
        <f t="shared" si="1"/>
        <v>0.15</v>
      </c>
      <c r="I7" s="7">
        <f t="shared" si="2"/>
        <v>0.11249999999999999</v>
      </c>
      <c r="J7" s="7">
        <f t="shared" si="5"/>
        <v>0</v>
      </c>
      <c r="K7" s="7">
        <f t="shared" si="3"/>
        <v>0</v>
      </c>
      <c r="L7" s="7">
        <f t="shared" si="4"/>
        <v>0.15</v>
      </c>
    </row>
    <row r="8" spans="2:12" ht="86.4" x14ac:dyDescent="0.3">
      <c r="B8" s="7">
        <v>1006</v>
      </c>
      <c r="C8" s="7" t="s">
        <v>27</v>
      </c>
      <c r="D8" s="8" t="s">
        <v>32</v>
      </c>
      <c r="E8" s="7">
        <v>3</v>
      </c>
      <c r="F8" s="7">
        <v>0.28000000000000003</v>
      </c>
      <c r="G8" s="7">
        <f t="shared" si="0"/>
        <v>0.35000000000000003</v>
      </c>
      <c r="H8" s="7">
        <f t="shared" si="1"/>
        <v>0.15</v>
      </c>
      <c r="I8" s="7">
        <f t="shared" si="2"/>
        <v>0.1875</v>
      </c>
      <c r="J8" s="7">
        <f t="shared" si="5"/>
        <v>0</v>
      </c>
      <c r="K8" s="7">
        <f t="shared" si="3"/>
        <v>0</v>
      </c>
      <c r="L8" s="7">
        <f t="shared" si="4"/>
        <v>0.15</v>
      </c>
    </row>
    <row r="9" spans="2:12" ht="57.6" x14ac:dyDescent="0.3">
      <c r="B9" s="5">
        <v>1007</v>
      </c>
      <c r="C9" s="5" t="s">
        <v>27</v>
      </c>
      <c r="D9" s="6" t="s">
        <v>33</v>
      </c>
      <c r="E9" s="7">
        <v>1</v>
      </c>
      <c r="F9" s="7">
        <v>0.3</v>
      </c>
      <c r="G9" s="7">
        <f t="shared" si="0"/>
        <v>0.22499999999999998</v>
      </c>
      <c r="H9" s="7">
        <f t="shared" si="1"/>
        <v>0.15</v>
      </c>
      <c r="I9" s="7">
        <f t="shared" si="2"/>
        <v>0.11249999999999999</v>
      </c>
      <c r="J9" s="7">
        <f t="shared" si="5"/>
        <v>0</v>
      </c>
      <c r="K9" s="7">
        <f t="shared" si="3"/>
        <v>0</v>
      </c>
      <c r="L9" s="7">
        <f t="shared" si="4"/>
        <v>0.15</v>
      </c>
    </row>
    <row r="10" spans="2:12" ht="57.6" x14ac:dyDescent="0.3">
      <c r="B10" s="7">
        <v>1008</v>
      </c>
      <c r="C10" s="7" t="s">
        <v>27</v>
      </c>
      <c r="D10" s="8" t="s">
        <v>34</v>
      </c>
      <c r="E10" s="7">
        <v>3</v>
      </c>
      <c r="F10" s="7">
        <v>0.27</v>
      </c>
      <c r="G10" s="7">
        <f t="shared" si="0"/>
        <v>0.33750000000000002</v>
      </c>
      <c r="H10" s="7">
        <f t="shared" si="1"/>
        <v>0.15</v>
      </c>
      <c r="I10" s="7">
        <f t="shared" si="2"/>
        <v>0.1875</v>
      </c>
      <c r="J10" s="7">
        <f t="shared" si="5"/>
        <v>0</v>
      </c>
      <c r="K10" s="7">
        <f t="shared" si="3"/>
        <v>0</v>
      </c>
      <c r="L10" s="7">
        <f t="shared" si="4"/>
        <v>0.15</v>
      </c>
    </row>
    <row r="11" spans="2:12" ht="43.2" x14ac:dyDescent="0.3">
      <c r="B11" s="5">
        <v>1009</v>
      </c>
      <c r="C11" s="5" t="s">
        <v>27</v>
      </c>
      <c r="D11" s="6" t="s">
        <v>35</v>
      </c>
      <c r="E11" s="7">
        <v>1</v>
      </c>
      <c r="F11" s="7">
        <v>0.22</v>
      </c>
      <c r="G11" s="7">
        <f t="shared" si="0"/>
        <v>0.16500000000000001</v>
      </c>
      <c r="H11" s="7">
        <f t="shared" si="1"/>
        <v>0.15</v>
      </c>
      <c r="I11" s="7">
        <f t="shared" si="2"/>
        <v>0.11249999999999999</v>
      </c>
      <c r="J11" s="7">
        <f t="shared" si="5"/>
        <v>0</v>
      </c>
      <c r="K11" s="7">
        <f t="shared" si="3"/>
        <v>0</v>
      </c>
      <c r="L11" s="7">
        <f t="shared" si="4"/>
        <v>0.15</v>
      </c>
    </row>
    <row r="12" spans="2:12" ht="28.8" x14ac:dyDescent="0.3">
      <c r="B12" s="5">
        <v>1010</v>
      </c>
      <c r="C12" s="5" t="s">
        <v>27</v>
      </c>
      <c r="D12" s="6" t="s">
        <v>36</v>
      </c>
      <c r="E12" s="7">
        <v>1</v>
      </c>
      <c r="F12" s="7">
        <v>0.2</v>
      </c>
      <c r="G12" s="7">
        <f t="shared" si="0"/>
        <v>0.15000000000000002</v>
      </c>
      <c r="H12" s="7">
        <f t="shared" si="1"/>
        <v>0.15</v>
      </c>
      <c r="I12" s="7">
        <f t="shared" si="2"/>
        <v>0.11249999999999999</v>
      </c>
      <c r="J12" s="7">
        <f t="shared" si="5"/>
        <v>0</v>
      </c>
      <c r="K12" s="7">
        <f t="shared" si="3"/>
        <v>0</v>
      </c>
      <c r="L12" s="7">
        <f t="shared" si="4"/>
        <v>0.15</v>
      </c>
    </row>
    <row r="13" spans="2:12" ht="187.2" x14ac:dyDescent="0.3">
      <c r="B13" s="5">
        <v>1011</v>
      </c>
      <c r="C13" s="5" t="s">
        <v>27</v>
      </c>
      <c r="D13" s="6" t="s">
        <v>37</v>
      </c>
      <c r="E13" s="7">
        <v>1</v>
      </c>
      <c r="F13" s="7">
        <v>0.34</v>
      </c>
      <c r="G13" s="7">
        <f t="shared" si="0"/>
        <v>0.255</v>
      </c>
      <c r="H13" s="7">
        <f t="shared" si="1"/>
        <v>0.15</v>
      </c>
      <c r="I13" s="7">
        <f t="shared" si="2"/>
        <v>0.11249999999999999</v>
      </c>
      <c r="J13" s="7">
        <f t="shared" si="5"/>
        <v>0</v>
      </c>
      <c r="K13" s="7">
        <f t="shared" si="3"/>
        <v>0</v>
      </c>
      <c r="L13" s="7">
        <f t="shared" si="4"/>
        <v>0.15</v>
      </c>
    </row>
    <row r="14" spans="2:12" ht="115.2" x14ac:dyDescent="0.3">
      <c r="B14" s="5">
        <v>1012</v>
      </c>
      <c r="C14" s="5" t="s">
        <v>27</v>
      </c>
      <c r="D14" s="6" t="s">
        <v>38</v>
      </c>
      <c r="E14" s="7">
        <v>1</v>
      </c>
      <c r="F14" s="7">
        <v>0.24</v>
      </c>
      <c r="G14" s="7">
        <f t="shared" si="0"/>
        <v>0.18</v>
      </c>
      <c r="H14" s="7">
        <f t="shared" si="1"/>
        <v>0.15</v>
      </c>
      <c r="I14" s="7">
        <f t="shared" si="2"/>
        <v>0.11249999999999999</v>
      </c>
      <c r="J14" s="7">
        <f t="shared" si="5"/>
        <v>0</v>
      </c>
      <c r="K14" s="7">
        <f t="shared" si="3"/>
        <v>0</v>
      </c>
      <c r="L14" s="7">
        <f t="shared" si="4"/>
        <v>0.15</v>
      </c>
    </row>
    <row r="15" spans="2:12" ht="43.2" x14ac:dyDescent="0.3">
      <c r="B15" s="5">
        <v>1013</v>
      </c>
      <c r="C15" s="5" t="s">
        <v>27</v>
      </c>
      <c r="D15" s="6" t="s">
        <v>39</v>
      </c>
      <c r="E15" s="7">
        <v>1</v>
      </c>
      <c r="F15" s="7">
        <v>0.2</v>
      </c>
      <c r="G15" s="7">
        <f t="shared" si="0"/>
        <v>0.15000000000000002</v>
      </c>
      <c r="H15" s="7">
        <f t="shared" si="1"/>
        <v>0.15</v>
      </c>
      <c r="I15" s="7">
        <f t="shared" si="2"/>
        <v>0.11249999999999999</v>
      </c>
      <c r="J15" s="7">
        <f t="shared" si="5"/>
        <v>0</v>
      </c>
      <c r="K15" s="7">
        <f t="shared" si="3"/>
        <v>0</v>
      </c>
      <c r="L15" s="7">
        <f t="shared" si="4"/>
        <v>0.15</v>
      </c>
    </row>
    <row r="16" spans="2:12" ht="28.8" x14ac:dyDescent="0.3">
      <c r="B16" s="5">
        <v>1014</v>
      </c>
      <c r="C16" s="5" t="s">
        <v>27</v>
      </c>
      <c r="D16" s="6" t="s">
        <v>40</v>
      </c>
      <c r="E16" s="7">
        <v>1</v>
      </c>
      <c r="F16" s="7">
        <v>0.22</v>
      </c>
      <c r="G16" s="7">
        <f t="shared" si="0"/>
        <v>0.16500000000000001</v>
      </c>
      <c r="H16" s="7">
        <f t="shared" si="1"/>
        <v>0.15</v>
      </c>
      <c r="I16" s="7">
        <f t="shared" si="2"/>
        <v>0.11249999999999999</v>
      </c>
      <c r="J16" s="7">
        <f t="shared" si="5"/>
        <v>0</v>
      </c>
      <c r="K16" s="7">
        <f t="shared" si="3"/>
        <v>0</v>
      </c>
      <c r="L16" s="7">
        <f t="shared" si="4"/>
        <v>0.15</v>
      </c>
    </row>
    <row r="17" spans="2:12" ht="28.8" x14ac:dyDescent="0.3">
      <c r="B17" s="5">
        <v>1015</v>
      </c>
      <c r="C17" s="5" t="s">
        <v>27</v>
      </c>
      <c r="D17" s="6" t="s">
        <v>41</v>
      </c>
      <c r="E17" s="7">
        <v>1</v>
      </c>
      <c r="F17" s="7">
        <v>0.23</v>
      </c>
      <c r="G17" s="7">
        <f t="shared" si="0"/>
        <v>0.17250000000000001</v>
      </c>
      <c r="H17" s="7">
        <f t="shared" si="1"/>
        <v>0.15</v>
      </c>
      <c r="I17" s="7">
        <f t="shared" si="2"/>
        <v>0.11249999999999999</v>
      </c>
      <c r="J17" s="7">
        <f t="shared" si="5"/>
        <v>0</v>
      </c>
      <c r="K17" s="7">
        <f t="shared" si="3"/>
        <v>0</v>
      </c>
      <c r="L17" s="7">
        <f t="shared" si="4"/>
        <v>0.15</v>
      </c>
    </row>
    <row r="18" spans="2:12" ht="115.2" x14ac:dyDescent="0.3">
      <c r="B18" s="7">
        <v>1016</v>
      </c>
      <c r="C18" s="7" t="s">
        <v>27</v>
      </c>
      <c r="D18" s="8" t="s">
        <v>42</v>
      </c>
      <c r="E18" s="7">
        <v>4</v>
      </c>
      <c r="F18" s="7">
        <v>0.1</v>
      </c>
      <c r="G18" s="7">
        <f t="shared" si="0"/>
        <v>0.26</v>
      </c>
      <c r="H18" s="7">
        <f t="shared" si="1"/>
        <v>0.15</v>
      </c>
      <c r="I18" s="7">
        <f t="shared" si="2"/>
        <v>0.39</v>
      </c>
      <c r="J18" s="7">
        <f t="shared" si="5"/>
        <v>0</v>
      </c>
      <c r="K18" s="7">
        <f t="shared" si="3"/>
        <v>0</v>
      </c>
      <c r="L18" s="7">
        <f t="shared" si="4"/>
        <v>0.15</v>
      </c>
    </row>
    <row r="19" spans="2:12" ht="158.4" x14ac:dyDescent="0.3">
      <c r="B19" s="7">
        <v>1017</v>
      </c>
      <c r="C19" s="7" t="s">
        <v>27</v>
      </c>
      <c r="D19" s="8" t="s">
        <v>43</v>
      </c>
      <c r="E19" s="7">
        <v>2</v>
      </c>
      <c r="F19" s="7">
        <v>0.3</v>
      </c>
      <c r="G19" s="7">
        <f t="shared" si="0"/>
        <v>0.27</v>
      </c>
      <c r="H19" s="7">
        <f t="shared" si="1"/>
        <v>0.15</v>
      </c>
      <c r="I19" s="7">
        <f t="shared" si="2"/>
        <v>0.13500000000000001</v>
      </c>
      <c r="J19" s="7">
        <f t="shared" si="5"/>
        <v>0</v>
      </c>
      <c r="K19" s="7">
        <f t="shared" si="3"/>
        <v>0</v>
      </c>
      <c r="L19" s="7">
        <f t="shared" si="4"/>
        <v>0.15</v>
      </c>
    </row>
    <row r="20" spans="2:12" ht="43.2" x14ac:dyDescent="0.3">
      <c r="B20" s="7">
        <v>1018</v>
      </c>
      <c r="C20" s="7" t="s">
        <v>27</v>
      </c>
      <c r="D20" s="8" t="s">
        <v>44</v>
      </c>
      <c r="E20" s="7">
        <v>2</v>
      </c>
      <c r="F20" s="7">
        <v>0.56000000000000005</v>
      </c>
      <c r="G20" s="7">
        <f t="shared" si="0"/>
        <v>0.504</v>
      </c>
      <c r="H20" s="7">
        <f t="shared" si="1"/>
        <v>0.15</v>
      </c>
      <c r="I20" s="7">
        <f t="shared" si="2"/>
        <v>0.13500000000000001</v>
      </c>
      <c r="J20" s="7">
        <f t="shared" si="5"/>
        <v>0</v>
      </c>
      <c r="K20" s="7">
        <f t="shared" si="3"/>
        <v>0</v>
      </c>
      <c r="L20" s="7">
        <f t="shared" si="4"/>
        <v>0.15</v>
      </c>
    </row>
    <row r="21" spans="2:12" ht="57.6" x14ac:dyDescent="0.3">
      <c r="B21" s="5">
        <v>1019</v>
      </c>
      <c r="C21" s="5" t="s">
        <v>27</v>
      </c>
      <c r="D21" s="6" t="s">
        <v>45</v>
      </c>
      <c r="E21" s="7">
        <v>1</v>
      </c>
      <c r="F21" s="7">
        <v>1.1499999999999999</v>
      </c>
      <c r="G21" s="7">
        <f t="shared" si="0"/>
        <v>0.86249999999999993</v>
      </c>
      <c r="H21" s="7">
        <f t="shared" si="1"/>
        <v>0.15</v>
      </c>
      <c r="I21" s="7">
        <f t="shared" si="2"/>
        <v>0.11249999999999999</v>
      </c>
      <c r="J21" s="7">
        <f t="shared" si="5"/>
        <v>0</v>
      </c>
      <c r="K21" s="7">
        <f t="shared" si="3"/>
        <v>0</v>
      </c>
      <c r="L21" s="7">
        <f t="shared" si="4"/>
        <v>0.15</v>
      </c>
    </row>
    <row r="22" spans="2:12" ht="28.8" x14ac:dyDescent="0.3">
      <c r="B22" s="5">
        <v>1020</v>
      </c>
      <c r="C22" s="5" t="s">
        <v>27</v>
      </c>
      <c r="D22" s="6" t="s">
        <v>46</v>
      </c>
      <c r="E22" s="7">
        <v>1</v>
      </c>
      <c r="F22" s="7">
        <v>0.75</v>
      </c>
      <c r="G22" s="7">
        <f t="shared" si="0"/>
        <v>0.5625</v>
      </c>
      <c r="H22" s="7">
        <f t="shared" si="1"/>
        <v>0.15</v>
      </c>
      <c r="I22" s="7">
        <f t="shared" si="2"/>
        <v>0.11249999999999999</v>
      </c>
      <c r="J22" s="7">
        <f t="shared" si="5"/>
        <v>0</v>
      </c>
      <c r="K22" s="7">
        <f t="shared" si="3"/>
        <v>0</v>
      </c>
      <c r="L22" s="7">
        <f t="shared" si="4"/>
        <v>0.15</v>
      </c>
    </row>
    <row r="23" spans="2:12" ht="43.2" x14ac:dyDescent="0.3">
      <c r="B23" s="7">
        <v>1021</v>
      </c>
      <c r="C23" s="7" t="s">
        <v>27</v>
      </c>
      <c r="D23" s="8" t="s">
        <v>47</v>
      </c>
      <c r="E23" s="7">
        <v>4</v>
      </c>
      <c r="F23" s="7">
        <v>1.19</v>
      </c>
      <c r="G23" s="7">
        <f t="shared" si="0"/>
        <v>3.0939999999999999</v>
      </c>
      <c r="H23" s="7">
        <f t="shared" si="1"/>
        <v>0.15</v>
      </c>
      <c r="I23" s="7">
        <f t="shared" si="2"/>
        <v>0.39</v>
      </c>
      <c r="J23" s="7">
        <f t="shared" si="5"/>
        <v>0</v>
      </c>
      <c r="K23" s="7">
        <f t="shared" si="3"/>
        <v>0</v>
      </c>
      <c r="L23" s="7">
        <f t="shared" si="4"/>
        <v>0.15</v>
      </c>
    </row>
    <row r="24" spans="2:12" ht="57.6" x14ac:dyDescent="0.3">
      <c r="B24" s="7">
        <v>1022</v>
      </c>
      <c r="C24" s="7" t="s">
        <v>27</v>
      </c>
      <c r="D24" s="8" t="s">
        <v>48</v>
      </c>
      <c r="E24" s="7">
        <v>3</v>
      </c>
      <c r="F24" s="7">
        <v>1.24</v>
      </c>
      <c r="G24" s="7">
        <f t="shared" si="0"/>
        <v>1.55</v>
      </c>
      <c r="H24" s="7">
        <f t="shared" si="1"/>
        <v>0.15</v>
      </c>
      <c r="I24" s="7">
        <f t="shared" si="2"/>
        <v>0.1875</v>
      </c>
      <c r="J24" s="7">
        <f t="shared" si="5"/>
        <v>0</v>
      </c>
      <c r="K24" s="7">
        <f t="shared" si="3"/>
        <v>0</v>
      </c>
      <c r="L24" s="7">
        <f t="shared" si="4"/>
        <v>0.15</v>
      </c>
    </row>
    <row r="25" spans="2:12" ht="100.8" x14ac:dyDescent="0.3">
      <c r="B25" s="7">
        <v>1023</v>
      </c>
      <c r="C25" s="7" t="s">
        <v>27</v>
      </c>
      <c r="D25" s="8" t="s">
        <v>49</v>
      </c>
      <c r="E25" s="7">
        <v>2</v>
      </c>
      <c r="F25" s="7">
        <v>0.79</v>
      </c>
      <c r="G25" s="7">
        <f t="shared" si="0"/>
        <v>0.71100000000000008</v>
      </c>
      <c r="H25" s="7">
        <f t="shared" si="1"/>
        <v>0.15</v>
      </c>
      <c r="I25" s="7">
        <f t="shared" si="2"/>
        <v>0.13500000000000001</v>
      </c>
      <c r="J25" s="7">
        <f t="shared" si="5"/>
        <v>0</v>
      </c>
      <c r="K25" s="7">
        <f t="shared" si="3"/>
        <v>0</v>
      </c>
      <c r="L25" s="7">
        <f t="shared" si="4"/>
        <v>0.15</v>
      </c>
    </row>
    <row r="26" spans="2:12" ht="57.6" x14ac:dyDescent="0.3">
      <c r="B26" s="7">
        <v>1024</v>
      </c>
      <c r="C26" s="7" t="s">
        <v>27</v>
      </c>
      <c r="D26" s="8" t="s">
        <v>50</v>
      </c>
      <c r="E26" s="7">
        <v>3</v>
      </c>
      <c r="F26" s="7">
        <v>0.91</v>
      </c>
      <c r="G26" s="7">
        <f t="shared" si="0"/>
        <v>1.1375</v>
      </c>
      <c r="H26" s="7">
        <f t="shared" si="1"/>
        <v>0.15</v>
      </c>
      <c r="I26" s="7">
        <f t="shared" si="2"/>
        <v>0.1875</v>
      </c>
      <c r="J26" s="7">
        <f t="shared" si="5"/>
        <v>0</v>
      </c>
      <c r="K26" s="7">
        <f t="shared" si="3"/>
        <v>0</v>
      </c>
      <c r="L26" s="7">
        <f t="shared" si="4"/>
        <v>0.15</v>
      </c>
    </row>
    <row r="27" spans="2:12" ht="57.6" x14ac:dyDescent="0.3">
      <c r="B27" s="5">
        <v>1025</v>
      </c>
      <c r="C27" s="5" t="s">
        <v>27</v>
      </c>
      <c r="D27" s="6" t="s">
        <v>51</v>
      </c>
      <c r="E27" s="7">
        <v>1</v>
      </c>
      <c r="F27" s="7">
        <v>0.85</v>
      </c>
      <c r="G27" s="7">
        <f t="shared" si="0"/>
        <v>0.63749999999999996</v>
      </c>
      <c r="H27" s="7">
        <f t="shared" si="1"/>
        <v>0.15</v>
      </c>
      <c r="I27" s="7">
        <f t="shared" si="2"/>
        <v>0.11249999999999999</v>
      </c>
      <c r="J27" s="7">
        <f t="shared" si="5"/>
        <v>0</v>
      </c>
      <c r="K27" s="7">
        <f t="shared" si="3"/>
        <v>0</v>
      </c>
      <c r="L27" s="7">
        <f t="shared" si="4"/>
        <v>0.15</v>
      </c>
    </row>
    <row r="28" spans="2:12" ht="100.8" x14ac:dyDescent="0.3">
      <c r="B28" s="7">
        <v>1026</v>
      </c>
      <c r="C28" s="7" t="s">
        <v>27</v>
      </c>
      <c r="D28" s="8" t="s">
        <v>52</v>
      </c>
      <c r="E28" s="7">
        <v>3</v>
      </c>
      <c r="F28" s="7">
        <v>0.56000000000000005</v>
      </c>
      <c r="G28" s="7">
        <f t="shared" si="0"/>
        <v>0.70000000000000007</v>
      </c>
      <c r="H28" s="7">
        <f t="shared" si="1"/>
        <v>0.15</v>
      </c>
      <c r="I28" s="7">
        <f t="shared" si="2"/>
        <v>0.1875</v>
      </c>
      <c r="J28" s="7">
        <f t="shared" si="5"/>
        <v>0</v>
      </c>
      <c r="K28" s="7">
        <f t="shared" si="3"/>
        <v>0</v>
      </c>
      <c r="L28" s="7">
        <f t="shared" si="4"/>
        <v>0.15</v>
      </c>
    </row>
    <row r="29" spans="2:12" ht="100.8" x14ac:dyDescent="0.3">
      <c r="B29" s="5">
        <v>1027</v>
      </c>
      <c r="C29" s="5" t="s">
        <v>27</v>
      </c>
      <c r="D29" s="6" t="s">
        <v>53</v>
      </c>
      <c r="E29" s="7">
        <v>1</v>
      </c>
      <c r="F29" s="7">
        <v>0.48</v>
      </c>
      <c r="G29" s="7">
        <f t="shared" si="0"/>
        <v>0.36</v>
      </c>
      <c r="H29" s="7">
        <f t="shared" si="1"/>
        <v>0.15</v>
      </c>
      <c r="I29" s="7">
        <f t="shared" si="2"/>
        <v>0.11249999999999999</v>
      </c>
      <c r="J29" s="7">
        <f t="shared" si="5"/>
        <v>0</v>
      </c>
      <c r="K29" s="7">
        <f t="shared" si="3"/>
        <v>0</v>
      </c>
      <c r="L29" s="7">
        <f t="shared" si="4"/>
        <v>0.15</v>
      </c>
    </row>
    <row r="30" spans="2:12" ht="100.8" x14ac:dyDescent="0.3">
      <c r="B30" s="5">
        <v>1028</v>
      </c>
      <c r="C30" s="5" t="s">
        <v>27</v>
      </c>
      <c r="D30" s="6" t="s">
        <v>54</v>
      </c>
      <c r="E30" s="7">
        <v>1</v>
      </c>
      <c r="F30" s="7">
        <v>0.96</v>
      </c>
      <c r="G30" s="7">
        <f t="shared" si="0"/>
        <v>0.72</v>
      </c>
      <c r="H30" s="7">
        <f t="shared" si="1"/>
        <v>0.15</v>
      </c>
      <c r="I30" s="7">
        <f t="shared" si="2"/>
        <v>0.11249999999999999</v>
      </c>
      <c r="J30" s="7">
        <f t="shared" si="5"/>
        <v>0</v>
      </c>
      <c r="K30" s="7">
        <f t="shared" si="3"/>
        <v>0</v>
      </c>
      <c r="L30" s="7">
        <f t="shared" si="4"/>
        <v>0.15</v>
      </c>
    </row>
    <row r="31" spans="2:12" ht="129.6" x14ac:dyDescent="0.3">
      <c r="B31" s="5">
        <v>1029</v>
      </c>
      <c r="C31" s="5" t="s">
        <v>27</v>
      </c>
      <c r="D31" s="6" t="s">
        <v>55</v>
      </c>
      <c r="E31" s="7">
        <v>1</v>
      </c>
      <c r="F31" s="7">
        <v>0.15</v>
      </c>
      <c r="G31" s="7">
        <f t="shared" si="0"/>
        <v>0.11249999999999999</v>
      </c>
      <c r="H31" s="7">
        <f t="shared" si="1"/>
        <v>0.15</v>
      </c>
      <c r="I31" s="7">
        <f t="shared" si="2"/>
        <v>0.11249999999999999</v>
      </c>
      <c r="J31" s="7">
        <f t="shared" si="5"/>
        <v>0</v>
      </c>
      <c r="K31" s="7">
        <f t="shared" si="3"/>
        <v>0</v>
      </c>
      <c r="L31" s="7">
        <f t="shared" si="4"/>
        <v>0.15</v>
      </c>
    </row>
    <row r="32" spans="2:12" ht="43.2" x14ac:dyDescent="0.3">
      <c r="B32" s="7">
        <v>2001</v>
      </c>
      <c r="C32" s="7" t="s">
        <v>56</v>
      </c>
      <c r="D32" s="8" t="s">
        <v>57</v>
      </c>
      <c r="E32" s="7">
        <v>2</v>
      </c>
      <c r="F32" s="7">
        <v>0.82</v>
      </c>
      <c r="G32" s="7">
        <f t="shared" si="0"/>
        <v>0.73799999999999999</v>
      </c>
      <c r="H32" s="7">
        <f t="shared" si="1"/>
        <v>0.25</v>
      </c>
      <c r="I32" s="7">
        <f t="shared" si="2"/>
        <v>0.22500000000000001</v>
      </c>
      <c r="J32" s="7">
        <f>IF([1]BSUS!F5="Zone1",0.5,IF([1]BSUS!F5="Zone2",0.25,IF([1]BSUS!F5="Zone3",0.1,IF([1]BSUS!F5="Zone4",0.05,0))))</f>
        <v>0</v>
      </c>
      <c r="K32" s="7">
        <f t="shared" si="3"/>
        <v>0</v>
      </c>
      <c r="L32" s="7">
        <f t="shared" si="4"/>
        <v>0.23</v>
      </c>
    </row>
    <row r="33" spans="2:12" ht="43.2" x14ac:dyDescent="0.3">
      <c r="B33" s="5">
        <v>2002</v>
      </c>
      <c r="C33" s="5" t="s">
        <v>56</v>
      </c>
      <c r="D33" s="6" t="s">
        <v>58</v>
      </c>
      <c r="E33" s="7">
        <v>1</v>
      </c>
      <c r="F33" s="7">
        <v>0.59</v>
      </c>
      <c r="G33" s="7">
        <f t="shared" si="0"/>
        <v>0.4425</v>
      </c>
      <c r="H33" s="7">
        <f t="shared" si="1"/>
        <v>0.25</v>
      </c>
      <c r="I33" s="7">
        <f t="shared" si="2"/>
        <v>0.1875</v>
      </c>
      <c r="J33" s="7">
        <f t="shared" ref="J33:J96" si="6">J32</f>
        <v>0</v>
      </c>
      <c r="K33" s="7">
        <f t="shared" si="3"/>
        <v>0</v>
      </c>
      <c r="L33" s="7">
        <f t="shared" si="4"/>
        <v>0.23</v>
      </c>
    </row>
    <row r="34" spans="2:12" ht="72" x14ac:dyDescent="0.3">
      <c r="B34" s="5">
        <v>2003</v>
      </c>
      <c r="C34" s="5" t="s">
        <v>56</v>
      </c>
      <c r="D34" s="6" t="s">
        <v>59</v>
      </c>
      <c r="E34" s="7">
        <v>1</v>
      </c>
      <c r="F34" s="7">
        <v>0.71</v>
      </c>
      <c r="G34" s="7">
        <f t="shared" si="0"/>
        <v>0.53249999999999997</v>
      </c>
      <c r="H34" s="7">
        <f t="shared" si="1"/>
        <v>0.25</v>
      </c>
      <c r="I34" s="7">
        <f t="shared" si="2"/>
        <v>0.1875</v>
      </c>
      <c r="J34" s="7">
        <f t="shared" si="6"/>
        <v>0</v>
      </c>
      <c r="K34" s="7">
        <f t="shared" si="3"/>
        <v>0</v>
      </c>
      <c r="L34" s="7">
        <f t="shared" si="4"/>
        <v>0.23</v>
      </c>
    </row>
    <row r="35" spans="2:12" ht="43.2" x14ac:dyDescent="0.3">
      <c r="B35" s="5">
        <v>2004</v>
      </c>
      <c r="C35" s="5" t="s">
        <v>56</v>
      </c>
      <c r="D35" s="6" t="s">
        <v>60</v>
      </c>
      <c r="E35" s="7">
        <v>1</v>
      </c>
      <c r="F35" s="7">
        <v>1.98</v>
      </c>
      <c r="G35" s="7">
        <f t="shared" si="0"/>
        <v>1.4849999999999999</v>
      </c>
      <c r="H35" s="7">
        <f t="shared" si="1"/>
        <v>0.25</v>
      </c>
      <c r="I35" s="7">
        <f t="shared" si="2"/>
        <v>0.1875</v>
      </c>
      <c r="J35" s="7">
        <f t="shared" si="6"/>
        <v>0</v>
      </c>
      <c r="K35" s="7">
        <f t="shared" si="3"/>
        <v>0</v>
      </c>
      <c r="L35" s="7">
        <f t="shared" si="4"/>
        <v>0.23</v>
      </c>
    </row>
    <row r="36" spans="2:12" ht="28.8" x14ac:dyDescent="0.3">
      <c r="B36" s="5">
        <v>2005</v>
      </c>
      <c r="C36" s="5" t="s">
        <v>56</v>
      </c>
      <c r="D36" s="6" t="s">
        <v>61</v>
      </c>
      <c r="E36" s="7">
        <v>1</v>
      </c>
      <c r="F36" s="7">
        <v>0.98</v>
      </c>
      <c r="G36" s="7">
        <f t="shared" si="0"/>
        <v>0.73499999999999999</v>
      </c>
      <c r="H36" s="7">
        <f t="shared" si="1"/>
        <v>0.25</v>
      </c>
      <c r="I36" s="7">
        <f t="shared" si="2"/>
        <v>0.1875</v>
      </c>
      <c r="J36" s="7">
        <f t="shared" si="6"/>
        <v>0</v>
      </c>
      <c r="K36" s="7">
        <f t="shared" si="3"/>
        <v>0</v>
      </c>
      <c r="L36" s="7">
        <f t="shared" si="4"/>
        <v>0.23</v>
      </c>
    </row>
    <row r="37" spans="2:12" ht="158.4" x14ac:dyDescent="0.3">
      <c r="B37" s="7">
        <v>2006</v>
      </c>
      <c r="C37" s="7" t="s">
        <v>56</v>
      </c>
      <c r="D37" s="8" t="s">
        <v>62</v>
      </c>
      <c r="E37" s="7">
        <v>2</v>
      </c>
      <c r="F37" s="7">
        <v>0.28999999999999998</v>
      </c>
      <c r="G37" s="7">
        <f t="shared" si="0"/>
        <v>0.26100000000000001</v>
      </c>
      <c r="H37" s="7">
        <f t="shared" si="1"/>
        <v>0.25</v>
      </c>
      <c r="I37" s="7">
        <f t="shared" si="2"/>
        <v>0.22500000000000001</v>
      </c>
      <c r="J37" s="7">
        <f t="shared" si="6"/>
        <v>0</v>
      </c>
      <c r="K37" s="7">
        <f t="shared" si="3"/>
        <v>0</v>
      </c>
      <c r="L37" s="7">
        <f t="shared" si="4"/>
        <v>0.23</v>
      </c>
    </row>
    <row r="38" spans="2:12" ht="57.6" x14ac:dyDescent="0.3">
      <c r="B38" s="5">
        <v>2008</v>
      </c>
      <c r="C38" s="5" t="s">
        <v>56</v>
      </c>
      <c r="D38" s="6" t="s">
        <v>63</v>
      </c>
      <c r="E38" s="7">
        <v>1</v>
      </c>
      <c r="F38" s="7">
        <v>0.6</v>
      </c>
      <c r="G38" s="7">
        <f t="shared" si="0"/>
        <v>0.44999999999999996</v>
      </c>
      <c r="H38" s="7">
        <f t="shared" si="1"/>
        <v>0.25</v>
      </c>
      <c r="I38" s="7">
        <f t="shared" si="2"/>
        <v>0.1875</v>
      </c>
      <c r="J38" s="7">
        <f t="shared" si="6"/>
        <v>0</v>
      </c>
      <c r="K38" s="7">
        <f t="shared" si="3"/>
        <v>0</v>
      </c>
      <c r="L38" s="7">
        <f t="shared" si="4"/>
        <v>0.23</v>
      </c>
    </row>
    <row r="39" spans="2:12" ht="86.4" x14ac:dyDescent="0.3">
      <c r="B39" s="7">
        <v>2007</v>
      </c>
      <c r="C39" s="7" t="s">
        <v>56</v>
      </c>
      <c r="D39" s="8" t="s">
        <v>64</v>
      </c>
      <c r="E39" s="7">
        <v>4</v>
      </c>
      <c r="F39" s="7">
        <v>1.06</v>
      </c>
      <c r="G39" s="7">
        <f t="shared" si="0"/>
        <v>2.7560000000000002</v>
      </c>
      <c r="H39" s="7">
        <f t="shared" si="1"/>
        <v>0.25</v>
      </c>
      <c r="I39" s="7">
        <f t="shared" si="2"/>
        <v>0.65</v>
      </c>
      <c r="J39" s="7">
        <f t="shared" si="6"/>
        <v>0</v>
      </c>
      <c r="K39" s="7">
        <f t="shared" si="3"/>
        <v>0</v>
      </c>
      <c r="L39" s="7">
        <f t="shared" si="4"/>
        <v>0.23</v>
      </c>
    </row>
    <row r="40" spans="2:12" ht="57.6" x14ac:dyDescent="0.3">
      <c r="B40" s="5">
        <v>2009</v>
      </c>
      <c r="C40" s="5" t="s">
        <v>56</v>
      </c>
      <c r="D40" s="6" t="s">
        <v>65</v>
      </c>
      <c r="E40" s="7">
        <v>1</v>
      </c>
      <c r="F40" s="7">
        <v>0.94</v>
      </c>
      <c r="G40" s="7">
        <f t="shared" si="0"/>
        <v>0.70499999999999996</v>
      </c>
      <c r="H40" s="7">
        <f t="shared" si="1"/>
        <v>0.25</v>
      </c>
      <c r="I40" s="7">
        <f t="shared" si="2"/>
        <v>0.1875</v>
      </c>
      <c r="J40" s="7">
        <f t="shared" si="6"/>
        <v>0</v>
      </c>
      <c r="K40" s="7">
        <f t="shared" si="3"/>
        <v>0</v>
      </c>
      <c r="L40" s="7">
        <f t="shared" si="4"/>
        <v>0.23</v>
      </c>
    </row>
    <row r="41" spans="2:12" ht="100.8" x14ac:dyDescent="0.3">
      <c r="B41" s="5">
        <v>2010</v>
      </c>
      <c r="C41" s="5" t="s">
        <v>56</v>
      </c>
      <c r="D41" s="6" t="s">
        <v>66</v>
      </c>
      <c r="E41" s="7">
        <v>1</v>
      </c>
      <c r="F41" s="7">
        <v>0.55000000000000004</v>
      </c>
      <c r="G41" s="7">
        <f t="shared" si="0"/>
        <v>0.41250000000000003</v>
      </c>
      <c r="H41" s="7">
        <f t="shared" si="1"/>
        <v>0.25</v>
      </c>
      <c r="I41" s="7">
        <f t="shared" si="2"/>
        <v>0.1875</v>
      </c>
      <c r="J41" s="7">
        <f t="shared" si="6"/>
        <v>0</v>
      </c>
      <c r="K41" s="7">
        <f t="shared" si="3"/>
        <v>0</v>
      </c>
      <c r="L41" s="7">
        <f t="shared" si="4"/>
        <v>0.23</v>
      </c>
    </row>
    <row r="42" spans="2:12" ht="86.4" x14ac:dyDescent="0.3">
      <c r="B42" s="5">
        <v>2011</v>
      </c>
      <c r="C42" s="5" t="s">
        <v>56</v>
      </c>
      <c r="D42" s="6" t="s">
        <v>67</v>
      </c>
      <c r="E42" s="7">
        <v>1</v>
      </c>
      <c r="F42" s="7">
        <v>0.73</v>
      </c>
      <c r="G42" s="7">
        <f t="shared" si="0"/>
        <v>0.54749999999999999</v>
      </c>
      <c r="H42" s="7">
        <f t="shared" si="1"/>
        <v>0.25</v>
      </c>
      <c r="I42" s="7">
        <f t="shared" si="2"/>
        <v>0.1875</v>
      </c>
      <c r="J42" s="7">
        <f t="shared" si="6"/>
        <v>0</v>
      </c>
      <c r="K42" s="7">
        <f t="shared" si="3"/>
        <v>0</v>
      </c>
      <c r="L42" s="7">
        <f t="shared" si="4"/>
        <v>0.23</v>
      </c>
    </row>
    <row r="43" spans="2:12" ht="72" x14ac:dyDescent="0.3">
      <c r="B43" s="5">
        <v>2012</v>
      </c>
      <c r="C43" s="5" t="s">
        <v>56</v>
      </c>
      <c r="D43" s="6" t="s">
        <v>68</v>
      </c>
      <c r="E43" s="7">
        <v>1</v>
      </c>
      <c r="F43" s="7">
        <v>1.97</v>
      </c>
      <c r="G43" s="7">
        <f t="shared" si="0"/>
        <v>1.4775</v>
      </c>
      <c r="H43" s="7">
        <f t="shared" si="1"/>
        <v>0.25</v>
      </c>
      <c r="I43" s="7">
        <f t="shared" si="2"/>
        <v>0.1875</v>
      </c>
      <c r="J43" s="7">
        <f t="shared" si="6"/>
        <v>0</v>
      </c>
      <c r="K43" s="7">
        <f t="shared" si="3"/>
        <v>0</v>
      </c>
      <c r="L43" s="7">
        <f t="shared" si="4"/>
        <v>0.23</v>
      </c>
    </row>
    <row r="44" spans="2:12" ht="57.6" x14ac:dyDescent="0.3">
      <c r="B44" s="5">
        <v>2212</v>
      </c>
      <c r="C44" s="5" t="s">
        <v>56</v>
      </c>
      <c r="D44" s="6" t="s">
        <v>69</v>
      </c>
      <c r="E44" s="7">
        <v>1</v>
      </c>
      <c r="F44" s="7">
        <v>1.18</v>
      </c>
      <c r="G44" s="7">
        <f t="shared" si="0"/>
        <v>0.88500000000000001</v>
      </c>
      <c r="H44" s="7">
        <f t="shared" si="1"/>
        <v>0.25</v>
      </c>
      <c r="I44" s="7">
        <f t="shared" si="2"/>
        <v>0.1875</v>
      </c>
      <c r="J44" s="7">
        <f t="shared" si="6"/>
        <v>0</v>
      </c>
      <c r="K44" s="7">
        <f t="shared" si="3"/>
        <v>0</v>
      </c>
      <c r="L44" s="7">
        <f t="shared" si="4"/>
        <v>0.23</v>
      </c>
    </row>
    <row r="45" spans="2:12" ht="57.6" x14ac:dyDescent="0.3">
      <c r="B45" s="5">
        <v>2013</v>
      </c>
      <c r="C45" s="5" t="s">
        <v>56</v>
      </c>
      <c r="D45" s="6" t="s">
        <v>70</v>
      </c>
      <c r="E45" s="7">
        <v>1</v>
      </c>
      <c r="F45" s="7">
        <v>0.59</v>
      </c>
      <c r="G45" s="7">
        <f t="shared" si="0"/>
        <v>0.4425</v>
      </c>
      <c r="H45" s="7">
        <f t="shared" si="1"/>
        <v>0.25</v>
      </c>
      <c r="I45" s="7">
        <f t="shared" si="2"/>
        <v>0.1875</v>
      </c>
      <c r="J45" s="7">
        <f t="shared" si="6"/>
        <v>0</v>
      </c>
      <c r="K45" s="7">
        <f t="shared" si="3"/>
        <v>0</v>
      </c>
      <c r="L45" s="7">
        <f t="shared" si="4"/>
        <v>0.23</v>
      </c>
    </row>
    <row r="46" spans="2:12" x14ac:dyDescent="0.3">
      <c r="B46" s="5">
        <v>2014</v>
      </c>
      <c r="C46" s="5" t="s">
        <v>56</v>
      </c>
      <c r="D46" s="6" t="s">
        <v>71</v>
      </c>
      <c r="E46" s="7">
        <v>1</v>
      </c>
      <c r="F46" s="7">
        <v>0.84</v>
      </c>
      <c r="G46" s="7">
        <f t="shared" si="0"/>
        <v>0.63</v>
      </c>
      <c r="H46" s="7">
        <f t="shared" si="1"/>
        <v>0.25</v>
      </c>
      <c r="I46" s="7">
        <f t="shared" si="2"/>
        <v>0.1875</v>
      </c>
      <c r="J46" s="7">
        <f t="shared" si="6"/>
        <v>0</v>
      </c>
      <c r="K46" s="7">
        <f t="shared" si="3"/>
        <v>0</v>
      </c>
      <c r="L46" s="7">
        <f t="shared" si="4"/>
        <v>0.23</v>
      </c>
    </row>
    <row r="47" spans="2:12" ht="72" x14ac:dyDescent="0.3">
      <c r="B47" s="5">
        <v>2015</v>
      </c>
      <c r="C47" s="5" t="s">
        <v>56</v>
      </c>
      <c r="D47" s="6" t="s">
        <v>72</v>
      </c>
      <c r="E47" s="7">
        <v>1</v>
      </c>
      <c r="F47" s="7">
        <v>3.19</v>
      </c>
      <c r="G47" s="7">
        <f t="shared" si="0"/>
        <v>2.3925000000000001</v>
      </c>
      <c r="H47" s="7">
        <f t="shared" si="1"/>
        <v>0.25</v>
      </c>
      <c r="I47" s="7">
        <f t="shared" si="2"/>
        <v>0.1875</v>
      </c>
      <c r="J47" s="7">
        <f t="shared" si="6"/>
        <v>0</v>
      </c>
      <c r="K47" s="7">
        <f t="shared" si="3"/>
        <v>0</v>
      </c>
      <c r="L47" s="7">
        <f t="shared" si="4"/>
        <v>0.23</v>
      </c>
    </row>
    <row r="48" spans="2:12" ht="43.2" x14ac:dyDescent="0.3">
      <c r="B48" s="5">
        <v>2016</v>
      </c>
      <c r="C48" s="5" t="s">
        <v>56</v>
      </c>
      <c r="D48" s="6" t="s">
        <v>73</v>
      </c>
      <c r="E48" s="7">
        <v>1</v>
      </c>
      <c r="F48" s="7">
        <v>0.78</v>
      </c>
      <c r="G48" s="7">
        <f t="shared" si="0"/>
        <v>0.58499999999999996</v>
      </c>
      <c r="H48" s="7">
        <f t="shared" si="1"/>
        <v>0.25</v>
      </c>
      <c r="I48" s="7">
        <f t="shared" si="2"/>
        <v>0.1875</v>
      </c>
      <c r="J48" s="7">
        <f t="shared" si="6"/>
        <v>0</v>
      </c>
      <c r="K48" s="7">
        <f t="shared" si="3"/>
        <v>0</v>
      </c>
      <c r="L48" s="7">
        <f t="shared" si="4"/>
        <v>0.23</v>
      </c>
    </row>
    <row r="49" spans="2:12" ht="28.8" x14ac:dyDescent="0.3">
      <c r="B49" s="5">
        <v>2017</v>
      </c>
      <c r="C49" s="5" t="s">
        <v>56</v>
      </c>
      <c r="D49" s="6" t="s">
        <v>74</v>
      </c>
      <c r="E49" s="7">
        <v>1</v>
      </c>
      <c r="F49" s="7">
        <v>1.18</v>
      </c>
      <c r="G49" s="7">
        <f t="shared" si="0"/>
        <v>0.88500000000000001</v>
      </c>
      <c r="H49" s="7">
        <f t="shared" si="1"/>
        <v>0.25</v>
      </c>
      <c r="I49" s="7">
        <f t="shared" si="2"/>
        <v>0.1875</v>
      </c>
      <c r="J49" s="7">
        <f t="shared" si="6"/>
        <v>0</v>
      </c>
      <c r="K49" s="7">
        <f t="shared" si="3"/>
        <v>0</v>
      </c>
      <c r="L49" s="7">
        <f t="shared" si="4"/>
        <v>0.23</v>
      </c>
    </row>
    <row r="50" spans="2:12" ht="28.8" x14ac:dyDescent="0.3">
      <c r="B50" s="5">
        <v>2018</v>
      </c>
      <c r="C50" s="5" t="s">
        <v>56</v>
      </c>
      <c r="D50" s="6" t="s">
        <v>75</v>
      </c>
      <c r="E50" s="7">
        <v>1</v>
      </c>
      <c r="F50" s="7">
        <v>0.82</v>
      </c>
      <c r="G50" s="7">
        <f t="shared" si="0"/>
        <v>0.61499999999999999</v>
      </c>
      <c r="H50" s="7">
        <f t="shared" si="1"/>
        <v>0.25</v>
      </c>
      <c r="I50" s="7">
        <f t="shared" si="2"/>
        <v>0.1875</v>
      </c>
      <c r="J50" s="7">
        <f t="shared" si="6"/>
        <v>0</v>
      </c>
      <c r="K50" s="7">
        <f t="shared" si="3"/>
        <v>0</v>
      </c>
      <c r="L50" s="7">
        <f t="shared" si="4"/>
        <v>0.23</v>
      </c>
    </row>
    <row r="51" spans="2:12" ht="158.4" x14ac:dyDescent="0.3">
      <c r="B51" s="7">
        <v>2019</v>
      </c>
      <c r="C51" s="7" t="s">
        <v>56</v>
      </c>
      <c r="D51" s="8" t="s">
        <v>76</v>
      </c>
      <c r="E51" s="7">
        <v>4</v>
      </c>
      <c r="F51" s="7">
        <v>1.64</v>
      </c>
      <c r="G51" s="7">
        <f t="shared" si="0"/>
        <v>4.2640000000000002</v>
      </c>
      <c r="H51" s="7">
        <f t="shared" si="1"/>
        <v>0.25</v>
      </c>
      <c r="I51" s="7">
        <f t="shared" si="2"/>
        <v>0.65</v>
      </c>
      <c r="J51" s="7">
        <f t="shared" si="6"/>
        <v>0</v>
      </c>
      <c r="K51" s="7">
        <f t="shared" si="3"/>
        <v>0</v>
      </c>
      <c r="L51" s="7">
        <f t="shared" si="4"/>
        <v>0.23</v>
      </c>
    </row>
    <row r="52" spans="2:12" ht="115.2" x14ac:dyDescent="0.3">
      <c r="B52" s="7">
        <v>2020</v>
      </c>
      <c r="C52" s="7" t="s">
        <v>56</v>
      </c>
      <c r="D52" s="8" t="s">
        <v>77</v>
      </c>
      <c r="E52" s="7">
        <v>3</v>
      </c>
      <c r="F52" s="7">
        <v>1.36</v>
      </c>
      <c r="G52" s="7">
        <f t="shared" si="0"/>
        <v>1.7000000000000002</v>
      </c>
      <c r="H52" s="7">
        <f t="shared" si="1"/>
        <v>0.25</v>
      </c>
      <c r="I52" s="7">
        <f t="shared" si="2"/>
        <v>0.3125</v>
      </c>
      <c r="J52" s="7">
        <f t="shared" si="6"/>
        <v>0</v>
      </c>
      <c r="K52" s="7">
        <f t="shared" si="3"/>
        <v>0</v>
      </c>
      <c r="L52" s="7">
        <f t="shared" si="4"/>
        <v>0.23</v>
      </c>
    </row>
    <row r="53" spans="2:12" ht="28.8" x14ac:dyDescent="0.3">
      <c r="B53" s="5">
        <v>2021</v>
      </c>
      <c r="C53" s="5" t="s">
        <v>56</v>
      </c>
      <c r="D53" s="6" t="s">
        <v>78</v>
      </c>
      <c r="E53" s="7">
        <v>1</v>
      </c>
      <c r="F53" s="7">
        <v>1.07</v>
      </c>
      <c r="G53" s="7">
        <f t="shared" si="0"/>
        <v>0.80249999999999999</v>
      </c>
      <c r="H53" s="7">
        <f t="shared" si="1"/>
        <v>0.25</v>
      </c>
      <c r="I53" s="7">
        <f t="shared" si="2"/>
        <v>0.1875</v>
      </c>
      <c r="J53" s="7">
        <f t="shared" si="6"/>
        <v>0</v>
      </c>
      <c r="K53" s="7">
        <f t="shared" si="3"/>
        <v>0</v>
      </c>
      <c r="L53" s="7">
        <f t="shared" si="4"/>
        <v>0.23</v>
      </c>
    </row>
    <row r="54" spans="2:12" ht="100.8" x14ac:dyDescent="0.3">
      <c r="B54" s="7">
        <v>2022</v>
      </c>
      <c r="C54" s="7" t="s">
        <v>56</v>
      </c>
      <c r="D54" s="8" t="s">
        <v>79</v>
      </c>
      <c r="E54" s="7">
        <v>3</v>
      </c>
      <c r="F54" s="7">
        <v>0.41</v>
      </c>
      <c r="G54" s="7">
        <f t="shared" si="0"/>
        <v>0.51249999999999996</v>
      </c>
      <c r="H54" s="7">
        <f t="shared" si="1"/>
        <v>0.25</v>
      </c>
      <c r="I54" s="7">
        <f t="shared" si="2"/>
        <v>0.3125</v>
      </c>
      <c r="J54" s="7">
        <f t="shared" si="6"/>
        <v>0</v>
      </c>
      <c r="K54" s="7">
        <f t="shared" si="3"/>
        <v>0</v>
      </c>
      <c r="L54" s="7">
        <f t="shared" si="4"/>
        <v>0.23</v>
      </c>
    </row>
    <row r="55" spans="2:12" ht="43.2" x14ac:dyDescent="0.3">
      <c r="B55" s="5">
        <v>2023</v>
      </c>
      <c r="C55" s="5" t="s">
        <v>56</v>
      </c>
      <c r="D55" s="6" t="s">
        <v>80</v>
      </c>
      <c r="E55" s="7">
        <v>1</v>
      </c>
      <c r="F55" s="7">
        <v>0.19</v>
      </c>
      <c r="G55" s="7">
        <f t="shared" si="0"/>
        <v>0.14250000000000002</v>
      </c>
      <c r="H55" s="7">
        <f t="shared" si="1"/>
        <v>0.25</v>
      </c>
      <c r="I55" s="7">
        <f t="shared" si="2"/>
        <v>0.1875</v>
      </c>
      <c r="J55" s="7">
        <f t="shared" si="6"/>
        <v>0</v>
      </c>
      <c r="K55" s="7">
        <f t="shared" si="3"/>
        <v>0</v>
      </c>
      <c r="L55" s="7">
        <f t="shared" si="4"/>
        <v>0.23</v>
      </c>
    </row>
    <row r="56" spans="2:12" ht="28.8" x14ac:dyDescent="0.3">
      <c r="B56" s="5">
        <v>2024</v>
      </c>
      <c r="C56" s="5" t="s">
        <v>56</v>
      </c>
      <c r="D56" s="6" t="s">
        <v>81</v>
      </c>
      <c r="E56" s="7">
        <v>1</v>
      </c>
      <c r="F56" s="7">
        <v>0.9</v>
      </c>
      <c r="G56" s="7">
        <f t="shared" si="0"/>
        <v>0.67500000000000004</v>
      </c>
      <c r="H56" s="7">
        <f t="shared" si="1"/>
        <v>0.25</v>
      </c>
      <c r="I56" s="7">
        <f t="shared" si="2"/>
        <v>0.1875</v>
      </c>
      <c r="J56" s="7">
        <f t="shared" si="6"/>
        <v>0</v>
      </c>
      <c r="K56" s="7">
        <f t="shared" si="3"/>
        <v>0</v>
      </c>
      <c r="L56" s="7">
        <f t="shared" si="4"/>
        <v>0.23</v>
      </c>
    </row>
    <row r="57" spans="2:12" ht="72" x14ac:dyDescent="0.3">
      <c r="B57" s="7">
        <v>2025</v>
      </c>
      <c r="C57" s="7" t="s">
        <v>56</v>
      </c>
      <c r="D57" s="8" t="s">
        <v>82</v>
      </c>
      <c r="E57" s="7">
        <v>4</v>
      </c>
      <c r="F57" s="7">
        <v>0.22</v>
      </c>
      <c r="G57" s="7">
        <f t="shared" si="0"/>
        <v>0.57200000000000006</v>
      </c>
      <c r="H57" s="7">
        <f t="shared" si="1"/>
        <v>0.25</v>
      </c>
      <c r="I57" s="7">
        <f t="shared" si="2"/>
        <v>0.65</v>
      </c>
      <c r="J57" s="7">
        <f t="shared" si="6"/>
        <v>0</v>
      </c>
      <c r="K57" s="7">
        <f t="shared" si="3"/>
        <v>0</v>
      </c>
      <c r="L57" s="7">
        <f t="shared" si="4"/>
        <v>0.23</v>
      </c>
    </row>
    <row r="58" spans="2:12" ht="43.2" x14ac:dyDescent="0.3">
      <c r="B58" s="5">
        <v>2026</v>
      </c>
      <c r="C58" s="5" t="s">
        <v>56</v>
      </c>
      <c r="D58" s="6" t="s">
        <v>83</v>
      </c>
      <c r="E58" s="7">
        <v>1</v>
      </c>
      <c r="F58" s="7">
        <v>1.1200000000000001</v>
      </c>
      <c r="G58" s="7">
        <f t="shared" si="0"/>
        <v>0.84000000000000008</v>
      </c>
      <c r="H58" s="7">
        <f t="shared" si="1"/>
        <v>0.25</v>
      </c>
      <c r="I58" s="7">
        <f t="shared" si="2"/>
        <v>0.1875</v>
      </c>
      <c r="J58" s="7">
        <f t="shared" si="6"/>
        <v>0</v>
      </c>
      <c r="K58" s="7">
        <f t="shared" si="3"/>
        <v>0</v>
      </c>
      <c r="L58" s="7">
        <f t="shared" si="4"/>
        <v>0.23</v>
      </c>
    </row>
    <row r="59" spans="2:12" ht="43.2" x14ac:dyDescent="0.3">
      <c r="B59" s="5">
        <v>2027</v>
      </c>
      <c r="C59" s="5" t="s">
        <v>56</v>
      </c>
      <c r="D59" s="6" t="s">
        <v>84</v>
      </c>
      <c r="E59" s="7">
        <v>1</v>
      </c>
      <c r="F59" s="7">
        <v>1.37</v>
      </c>
      <c r="G59" s="7">
        <f t="shared" si="0"/>
        <v>1.0275000000000001</v>
      </c>
      <c r="H59" s="7">
        <f t="shared" si="1"/>
        <v>0.25</v>
      </c>
      <c r="I59" s="7">
        <f t="shared" si="2"/>
        <v>0.1875</v>
      </c>
      <c r="J59" s="7">
        <f t="shared" si="6"/>
        <v>0</v>
      </c>
      <c r="K59" s="7">
        <f t="shared" si="3"/>
        <v>0</v>
      </c>
      <c r="L59" s="7">
        <f t="shared" si="4"/>
        <v>0.23</v>
      </c>
    </row>
    <row r="60" spans="2:12" ht="28.8" x14ac:dyDescent="0.3">
      <c r="B60" s="5">
        <v>2028</v>
      </c>
      <c r="C60" s="5" t="s">
        <v>56</v>
      </c>
      <c r="D60" s="6" t="s">
        <v>85</v>
      </c>
      <c r="E60" s="7">
        <v>1</v>
      </c>
      <c r="F60" s="7">
        <v>1.63</v>
      </c>
      <c r="G60" s="7">
        <f t="shared" si="0"/>
        <v>1.2224999999999999</v>
      </c>
      <c r="H60" s="7">
        <f t="shared" si="1"/>
        <v>0.25</v>
      </c>
      <c r="I60" s="7">
        <f t="shared" si="2"/>
        <v>0.1875</v>
      </c>
      <c r="J60" s="7">
        <f t="shared" si="6"/>
        <v>0</v>
      </c>
      <c r="K60" s="7">
        <f t="shared" si="3"/>
        <v>0</v>
      </c>
      <c r="L60" s="7">
        <f t="shared" si="4"/>
        <v>0.23</v>
      </c>
    </row>
    <row r="61" spans="2:12" ht="28.8" x14ac:dyDescent="0.3">
      <c r="B61" s="5">
        <v>2029</v>
      </c>
      <c r="C61" s="5" t="s">
        <v>56</v>
      </c>
      <c r="D61" s="6" t="s">
        <v>86</v>
      </c>
      <c r="E61" s="7">
        <v>1</v>
      </c>
      <c r="F61" s="7">
        <v>0.89</v>
      </c>
      <c r="G61" s="7">
        <f t="shared" si="0"/>
        <v>0.66749999999999998</v>
      </c>
      <c r="H61" s="7">
        <f t="shared" si="1"/>
        <v>0.25</v>
      </c>
      <c r="I61" s="7">
        <f t="shared" si="2"/>
        <v>0.1875</v>
      </c>
      <c r="J61" s="7">
        <f t="shared" si="6"/>
        <v>0</v>
      </c>
      <c r="K61" s="7">
        <f t="shared" si="3"/>
        <v>0</v>
      </c>
      <c r="L61" s="7">
        <f t="shared" si="4"/>
        <v>0.23</v>
      </c>
    </row>
    <row r="62" spans="2:12" ht="43.2" x14ac:dyDescent="0.3">
      <c r="B62" s="5">
        <v>2030</v>
      </c>
      <c r="C62" s="5" t="s">
        <v>56</v>
      </c>
      <c r="D62" s="6" t="s">
        <v>87</v>
      </c>
      <c r="E62" s="7">
        <v>1</v>
      </c>
      <c r="F62" s="7">
        <v>0.79</v>
      </c>
      <c r="G62" s="7">
        <f t="shared" si="0"/>
        <v>0.59250000000000003</v>
      </c>
      <c r="H62" s="7">
        <f t="shared" si="1"/>
        <v>0.25</v>
      </c>
      <c r="I62" s="7">
        <f t="shared" si="2"/>
        <v>0.1875</v>
      </c>
      <c r="J62" s="7">
        <f t="shared" si="6"/>
        <v>0</v>
      </c>
      <c r="K62" s="7">
        <f t="shared" si="3"/>
        <v>0</v>
      </c>
      <c r="L62" s="7">
        <f t="shared" si="4"/>
        <v>0.23</v>
      </c>
    </row>
    <row r="63" spans="2:12" ht="86.4" x14ac:dyDescent="0.3">
      <c r="B63" s="7">
        <v>2031</v>
      </c>
      <c r="C63" s="7" t="s">
        <v>56</v>
      </c>
      <c r="D63" s="8" t="s">
        <v>88</v>
      </c>
      <c r="E63" s="7">
        <v>4</v>
      </c>
      <c r="F63" s="7">
        <v>1.43</v>
      </c>
      <c r="G63" s="7">
        <f t="shared" si="0"/>
        <v>3.718</v>
      </c>
      <c r="H63" s="7">
        <f t="shared" si="1"/>
        <v>0.25</v>
      </c>
      <c r="I63" s="7">
        <f t="shared" si="2"/>
        <v>0.65</v>
      </c>
      <c r="J63" s="7">
        <f t="shared" si="6"/>
        <v>0</v>
      </c>
      <c r="K63" s="7">
        <f t="shared" si="3"/>
        <v>0</v>
      </c>
      <c r="L63" s="7">
        <f t="shared" si="4"/>
        <v>0.23</v>
      </c>
    </row>
    <row r="64" spans="2:12" ht="43.2" x14ac:dyDescent="0.3">
      <c r="B64" s="5">
        <v>2032</v>
      </c>
      <c r="C64" s="5" t="s">
        <v>56</v>
      </c>
      <c r="D64" s="6" t="s">
        <v>89</v>
      </c>
      <c r="E64" s="7">
        <v>1</v>
      </c>
      <c r="F64" s="7">
        <v>0.97</v>
      </c>
      <c r="G64" s="7">
        <f t="shared" si="0"/>
        <v>0.72750000000000004</v>
      </c>
      <c r="H64" s="7">
        <f t="shared" si="1"/>
        <v>0.25</v>
      </c>
      <c r="I64" s="7">
        <f t="shared" si="2"/>
        <v>0.1875</v>
      </c>
      <c r="J64" s="7">
        <f t="shared" si="6"/>
        <v>0</v>
      </c>
      <c r="K64" s="7">
        <f t="shared" si="3"/>
        <v>0</v>
      </c>
      <c r="L64" s="7">
        <f t="shared" si="4"/>
        <v>0.23</v>
      </c>
    </row>
    <row r="65" spans="2:12" ht="57.6" x14ac:dyDescent="0.3">
      <c r="B65" s="7">
        <v>2033</v>
      </c>
      <c r="C65" s="7" t="s">
        <v>56</v>
      </c>
      <c r="D65" s="8" t="s">
        <v>90</v>
      </c>
      <c r="E65" s="7">
        <v>3</v>
      </c>
      <c r="F65" s="7">
        <v>1.7</v>
      </c>
      <c r="G65" s="7">
        <f t="shared" si="0"/>
        <v>2.125</v>
      </c>
      <c r="H65" s="7">
        <f t="shared" si="1"/>
        <v>0.25</v>
      </c>
      <c r="I65" s="7">
        <f t="shared" si="2"/>
        <v>0.3125</v>
      </c>
      <c r="J65" s="7">
        <f t="shared" si="6"/>
        <v>0</v>
      </c>
      <c r="K65" s="7">
        <f t="shared" si="3"/>
        <v>0</v>
      </c>
      <c r="L65" s="7">
        <f t="shared" si="4"/>
        <v>0.23</v>
      </c>
    </row>
    <row r="66" spans="2:12" ht="216" x14ac:dyDescent="0.3">
      <c r="B66" s="7">
        <v>2034</v>
      </c>
      <c r="C66" s="7" t="s">
        <v>56</v>
      </c>
      <c r="D66" s="8" t="s">
        <v>91</v>
      </c>
      <c r="E66" s="7">
        <v>2</v>
      </c>
      <c r="F66" s="7">
        <v>1.81</v>
      </c>
      <c r="G66" s="7">
        <f t="shared" si="0"/>
        <v>1.629</v>
      </c>
      <c r="H66" s="7">
        <f t="shared" si="1"/>
        <v>0.25</v>
      </c>
      <c r="I66" s="7">
        <f t="shared" si="2"/>
        <v>0.22500000000000001</v>
      </c>
      <c r="J66" s="7">
        <f t="shared" si="6"/>
        <v>0</v>
      </c>
      <c r="K66" s="7">
        <f t="shared" si="3"/>
        <v>0</v>
      </c>
      <c r="L66" s="7">
        <f t="shared" si="4"/>
        <v>0.23</v>
      </c>
    </row>
    <row r="67" spans="2:12" ht="115.2" x14ac:dyDescent="0.3">
      <c r="B67" s="5">
        <v>2035</v>
      </c>
      <c r="C67" s="5" t="s">
        <v>56</v>
      </c>
      <c r="D67" s="6" t="s">
        <v>92</v>
      </c>
      <c r="E67" s="7">
        <v>1</v>
      </c>
      <c r="F67" s="7">
        <v>2.14</v>
      </c>
      <c r="G67" s="7">
        <f t="shared" si="0"/>
        <v>1.605</v>
      </c>
      <c r="H67" s="7">
        <f t="shared" si="1"/>
        <v>0.25</v>
      </c>
      <c r="I67" s="7">
        <f t="shared" si="2"/>
        <v>0.1875</v>
      </c>
      <c r="J67" s="7">
        <f t="shared" si="6"/>
        <v>0</v>
      </c>
      <c r="K67" s="7">
        <f t="shared" si="3"/>
        <v>0</v>
      </c>
      <c r="L67" s="7">
        <f t="shared" si="4"/>
        <v>0.23</v>
      </c>
    </row>
    <row r="68" spans="2:12" ht="86.4" x14ac:dyDescent="0.3">
      <c r="B68" s="5">
        <v>2036</v>
      </c>
      <c r="C68" s="5" t="s">
        <v>56</v>
      </c>
      <c r="D68" s="6" t="s">
        <v>93</v>
      </c>
      <c r="E68" s="7">
        <v>1</v>
      </c>
      <c r="F68" s="7">
        <v>1.65</v>
      </c>
      <c r="G68" s="7">
        <f t="shared" ref="G68:G131" si="7">IF(E68=1,(F68-(F68*0.25)),IF(E68=2,(F68-(F68*0.1)),IF(E68=3,(F68+(F68*0.25)),IF(E68=4,(F68+(F68*1.6)),0))))</f>
        <v>1.2374999999999998</v>
      </c>
      <c r="H68" s="7">
        <f t="shared" ref="H68:H131" si="8">IF(C68="III",0.15,IF(C68="IV",0.25,IF(C68="V",0.25,IF(C68="VII",0.25,0))))</f>
        <v>0.25</v>
      </c>
      <c r="I68" s="7">
        <f t="shared" ref="I68:I131" si="9">IF(E68=1,(H68-(H68*0.25)),IF(E68=2,(H68-(H68*0.1)),IF(E68=3,(H68+(H68*0.25)),IF(E68=4,(H68+(H68*1.6)),0))))</f>
        <v>0.1875</v>
      </c>
      <c r="J68" s="7">
        <f t="shared" si="6"/>
        <v>0</v>
      </c>
      <c r="K68" s="7">
        <f t="shared" ref="K68:K131" si="10">IF(E68=1,(J68-(J68*0.25)),IF(E68=2,(J68-(J68*0.1)),IF(E68=3,(J68+(J68*0.25)),IF(E68=4,(J68+(J68*1.6)),0))))</f>
        <v>0</v>
      </c>
      <c r="L68" s="7">
        <f t="shared" ref="L68:L131" si="11">IF(C68="III",0.15,0.23)</f>
        <v>0.23</v>
      </c>
    </row>
    <row r="69" spans="2:12" ht="43.2" x14ac:dyDescent="0.3">
      <c r="B69" s="7">
        <v>2037</v>
      </c>
      <c r="C69" s="7" t="s">
        <v>56</v>
      </c>
      <c r="D69" s="8" t="s">
        <v>94</v>
      </c>
      <c r="E69" s="7">
        <v>2</v>
      </c>
      <c r="F69" s="7">
        <v>0.98</v>
      </c>
      <c r="G69" s="7">
        <f t="shared" si="7"/>
        <v>0.88200000000000001</v>
      </c>
      <c r="H69" s="7">
        <f t="shared" si="8"/>
        <v>0.25</v>
      </c>
      <c r="I69" s="7">
        <f t="shared" si="9"/>
        <v>0.22500000000000001</v>
      </c>
      <c r="J69" s="7">
        <f t="shared" si="6"/>
        <v>0</v>
      </c>
      <c r="K69" s="7">
        <f t="shared" si="10"/>
        <v>0</v>
      </c>
      <c r="L69" s="7">
        <f t="shared" si="11"/>
        <v>0.23</v>
      </c>
    </row>
    <row r="70" spans="2:12" ht="28.8" x14ac:dyDescent="0.3">
      <c r="B70" s="5">
        <v>2038</v>
      </c>
      <c r="C70" s="5" t="s">
        <v>56</v>
      </c>
      <c r="D70" s="6" t="s">
        <v>95</v>
      </c>
      <c r="E70" s="7">
        <v>1</v>
      </c>
      <c r="F70" s="7">
        <v>0.64</v>
      </c>
      <c r="G70" s="7">
        <f t="shared" si="7"/>
        <v>0.48</v>
      </c>
      <c r="H70" s="7">
        <f t="shared" si="8"/>
        <v>0.25</v>
      </c>
      <c r="I70" s="7">
        <f t="shared" si="9"/>
        <v>0.1875</v>
      </c>
      <c r="J70" s="7">
        <f t="shared" si="6"/>
        <v>0</v>
      </c>
      <c r="K70" s="7">
        <f t="shared" si="10"/>
        <v>0</v>
      </c>
      <c r="L70" s="7">
        <f t="shared" si="11"/>
        <v>0.23</v>
      </c>
    </row>
    <row r="71" spans="2:12" ht="57.6" x14ac:dyDescent="0.3">
      <c r="B71" s="5">
        <v>2039</v>
      </c>
      <c r="C71" s="5" t="s">
        <v>56</v>
      </c>
      <c r="D71" s="6" t="s">
        <v>96</v>
      </c>
      <c r="E71" s="7">
        <v>1</v>
      </c>
      <c r="F71" s="7">
        <v>7.86</v>
      </c>
      <c r="G71" s="7">
        <f t="shared" si="7"/>
        <v>5.8950000000000005</v>
      </c>
      <c r="H71" s="7">
        <f t="shared" si="8"/>
        <v>0.25</v>
      </c>
      <c r="I71" s="7">
        <f t="shared" si="9"/>
        <v>0.1875</v>
      </c>
      <c r="J71" s="7">
        <f t="shared" si="6"/>
        <v>0</v>
      </c>
      <c r="K71" s="7">
        <f t="shared" si="10"/>
        <v>0</v>
      </c>
      <c r="L71" s="7">
        <f t="shared" si="11"/>
        <v>0.23</v>
      </c>
    </row>
    <row r="72" spans="2:12" ht="86.4" x14ac:dyDescent="0.3">
      <c r="B72" s="7">
        <v>2040</v>
      </c>
      <c r="C72" s="7" t="s">
        <v>56</v>
      </c>
      <c r="D72" s="8" t="s">
        <v>97</v>
      </c>
      <c r="E72" s="7">
        <v>2</v>
      </c>
      <c r="F72" s="7">
        <v>0.46</v>
      </c>
      <c r="G72" s="7">
        <f t="shared" si="7"/>
        <v>0.41400000000000003</v>
      </c>
      <c r="H72" s="7">
        <f t="shared" si="8"/>
        <v>0.25</v>
      </c>
      <c r="I72" s="7">
        <f t="shared" si="9"/>
        <v>0.22500000000000001</v>
      </c>
      <c r="J72" s="7">
        <f t="shared" si="6"/>
        <v>0</v>
      </c>
      <c r="K72" s="7">
        <f t="shared" si="10"/>
        <v>0</v>
      </c>
      <c r="L72" s="7">
        <f t="shared" si="11"/>
        <v>0.23</v>
      </c>
    </row>
    <row r="73" spans="2:12" ht="28.8" x14ac:dyDescent="0.3">
      <c r="B73" s="5">
        <v>2041</v>
      </c>
      <c r="C73" s="5" t="s">
        <v>56</v>
      </c>
      <c r="D73" s="6" t="s">
        <v>98</v>
      </c>
      <c r="E73" s="7">
        <v>1</v>
      </c>
      <c r="F73" s="7">
        <v>0.61</v>
      </c>
      <c r="G73" s="7">
        <f t="shared" si="7"/>
        <v>0.45750000000000002</v>
      </c>
      <c r="H73" s="7">
        <f t="shared" si="8"/>
        <v>0.25</v>
      </c>
      <c r="I73" s="7">
        <f t="shared" si="9"/>
        <v>0.1875</v>
      </c>
      <c r="J73" s="7">
        <f t="shared" si="6"/>
        <v>0</v>
      </c>
      <c r="K73" s="7">
        <f t="shared" si="10"/>
        <v>0</v>
      </c>
      <c r="L73" s="7">
        <f t="shared" si="11"/>
        <v>0.23</v>
      </c>
    </row>
    <row r="74" spans="2:12" ht="144" x14ac:dyDescent="0.3">
      <c r="B74" s="5">
        <v>2042</v>
      </c>
      <c r="C74" s="5" t="s">
        <v>56</v>
      </c>
      <c r="D74" s="6" t="s">
        <v>99</v>
      </c>
      <c r="E74" s="7">
        <v>1</v>
      </c>
      <c r="F74" s="7">
        <v>0.94</v>
      </c>
      <c r="G74" s="7">
        <f t="shared" si="7"/>
        <v>0.70499999999999996</v>
      </c>
      <c r="H74" s="7">
        <f t="shared" si="8"/>
        <v>0.25</v>
      </c>
      <c r="I74" s="7">
        <f t="shared" si="9"/>
        <v>0.1875</v>
      </c>
      <c r="J74" s="7">
        <f t="shared" si="6"/>
        <v>0</v>
      </c>
      <c r="K74" s="7">
        <f t="shared" si="10"/>
        <v>0</v>
      </c>
      <c r="L74" s="7">
        <f t="shared" si="11"/>
        <v>0.23</v>
      </c>
    </row>
    <row r="75" spans="2:12" ht="187.2" x14ac:dyDescent="0.3">
      <c r="B75" s="7">
        <v>2043</v>
      </c>
      <c r="C75" s="7" t="s">
        <v>56</v>
      </c>
      <c r="D75" s="8" t="s">
        <v>100</v>
      </c>
      <c r="E75" s="7">
        <v>4</v>
      </c>
      <c r="F75" s="7">
        <v>1.67</v>
      </c>
      <c r="G75" s="7">
        <f t="shared" si="7"/>
        <v>4.3420000000000005</v>
      </c>
      <c r="H75" s="7">
        <f t="shared" si="8"/>
        <v>0.25</v>
      </c>
      <c r="I75" s="7">
        <f t="shared" si="9"/>
        <v>0.65</v>
      </c>
      <c r="J75" s="7">
        <f t="shared" si="6"/>
        <v>0</v>
      </c>
      <c r="K75" s="7">
        <f t="shared" si="10"/>
        <v>0</v>
      </c>
      <c r="L75" s="7">
        <f t="shared" si="11"/>
        <v>0.23</v>
      </c>
    </row>
    <row r="76" spans="2:12" ht="115.2" x14ac:dyDescent="0.3">
      <c r="B76" s="7">
        <v>2044</v>
      </c>
      <c r="C76" s="7" t="s">
        <v>56</v>
      </c>
      <c r="D76" s="8" t="s">
        <v>101</v>
      </c>
      <c r="E76" s="7">
        <v>4</v>
      </c>
      <c r="F76" s="7">
        <v>1.21</v>
      </c>
      <c r="G76" s="7">
        <f t="shared" si="7"/>
        <v>3.1459999999999999</v>
      </c>
      <c r="H76" s="7">
        <f t="shared" si="8"/>
        <v>0.25</v>
      </c>
      <c r="I76" s="7">
        <f t="shared" si="9"/>
        <v>0.65</v>
      </c>
      <c r="J76" s="7">
        <f t="shared" si="6"/>
        <v>0</v>
      </c>
      <c r="K76" s="7">
        <f t="shared" si="10"/>
        <v>0</v>
      </c>
      <c r="L76" s="7">
        <f t="shared" si="11"/>
        <v>0.23</v>
      </c>
    </row>
    <row r="77" spans="2:12" ht="57.6" x14ac:dyDescent="0.3">
      <c r="B77" s="5">
        <v>2045</v>
      </c>
      <c r="C77" s="5" t="s">
        <v>56</v>
      </c>
      <c r="D77" s="6" t="s">
        <v>102</v>
      </c>
      <c r="E77" s="7">
        <v>1</v>
      </c>
      <c r="F77" s="7">
        <v>0.74</v>
      </c>
      <c r="G77" s="7">
        <f t="shared" si="7"/>
        <v>0.55499999999999994</v>
      </c>
      <c r="H77" s="7">
        <f t="shared" si="8"/>
        <v>0.25</v>
      </c>
      <c r="I77" s="7">
        <f t="shared" si="9"/>
        <v>0.1875</v>
      </c>
      <c r="J77" s="7">
        <f t="shared" si="6"/>
        <v>0</v>
      </c>
      <c r="K77" s="7">
        <f t="shared" si="10"/>
        <v>0</v>
      </c>
      <c r="L77" s="7">
        <f t="shared" si="11"/>
        <v>0.23</v>
      </c>
    </row>
    <row r="78" spans="2:12" ht="144" x14ac:dyDescent="0.3">
      <c r="B78" s="5">
        <v>2046</v>
      </c>
      <c r="C78" s="5" t="s">
        <v>56</v>
      </c>
      <c r="D78" s="6" t="s">
        <v>103</v>
      </c>
      <c r="E78" s="7">
        <v>1</v>
      </c>
      <c r="F78" s="7">
        <v>3.05</v>
      </c>
      <c r="G78" s="7">
        <f t="shared" si="7"/>
        <v>2.2874999999999996</v>
      </c>
      <c r="H78" s="7">
        <f t="shared" si="8"/>
        <v>0.25</v>
      </c>
      <c r="I78" s="7">
        <f t="shared" si="9"/>
        <v>0.1875</v>
      </c>
      <c r="J78" s="7">
        <f t="shared" si="6"/>
        <v>0</v>
      </c>
      <c r="K78" s="7">
        <f t="shared" si="10"/>
        <v>0</v>
      </c>
      <c r="L78" s="7">
        <f t="shared" si="11"/>
        <v>0.23</v>
      </c>
    </row>
    <row r="79" spans="2:12" ht="72" x14ac:dyDescent="0.3">
      <c r="B79" s="5">
        <v>2047</v>
      </c>
      <c r="C79" s="5" t="s">
        <v>56</v>
      </c>
      <c r="D79" s="6" t="s">
        <v>104</v>
      </c>
      <c r="E79" s="7">
        <v>1</v>
      </c>
      <c r="F79" s="7">
        <v>1.27</v>
      </c>
      <c r="G79" s="7">
        <f t="shared" si="7"/>
        <v>0.95250000000000001</v>
      </c>
      <c r="H79" s="7">
        <f t="shared" si="8"/>
        <v>0.25</v>
      </c>
      <c r="I79" s="7">
        <f t="shared" si="9"/>
        <v>0.1875</v>
      </c>
      <c r="J79" s="7">
        <f t="shared" si="6"/>
        <v>0</v>
      </c>
      <c r="K79" s="7">
        <f t="shared" si="10"/>
        <v>0</v>
      </c>
      <c r="L79" s="7">
        <f t="shared" si="11"/>
        <v>0.23</v>
      </c>
    </row>
    <row r="80" spans="2:12" ht="57.6" x14ac:dyDescent="0.3">
      <c r="B80" s="7">
        <v>2048</v>
      </c>
      <c r="C80" s="7" t="s">
        <v>56</v>
      </c>
      <c r="D80" s="8" t="s">
        <v>105</v>
      </c>
      <c r="E80" s="7">
        <v>2</v>
      </c>
      <c r="F80" s="7">
        <v>3.17</v>
      </c>
      <c r="G80" s="7">
        <f t="shared" si="7"/>
        <v>2.8529999999999998</v>
      </c>
      <c r="H80" s="7">
        <f t="shared" si="8"/>
        <v>0.25</v>
      </c>
      <c r="I80" s="7">
        <f t="shared" si="9"/>
        <v>0.22500000000000001</v>
      </c>
      <c r="J80" s="7">
        <f t="shared" si="6"/>
        <v>0</v>
      </c>
      <c r="K80" s="7">
        <f t="shared" si="10"/>
        <v>0</v>
      </c>
      <c r="L80" s="7">
        <f t="shared" si="11"/>
        <v>0.23</v>
      </c>
    </row>
    <row r="81" spans="2:12" ht="216" x14ac:dyDescent="0.3">
      <c r="B81" s="5">
        <v>2049</v>
      </c>
      <c r="C81" s="5" t="s">
        <v>56</v>
      </c>
      <c r="D81" s="6" t="s">
        <v>106</v>
      </c>
      <c r="E81" s="7">
        <v>1</v>
      </c>
      <c r="F81" s="7">
        <v>0.64</v>
      </c>
      <c r="G81" s="7">
        <f t="shared" si="7"/>
        <v>0.48</v>
      </c>
      <c r="H81" s="7">
        <f t="shared" si="8"/>
        <v>0.25</v>
      </c>
      <c r="I81" s="7">
        <f t="shared" si="9"/>
        <v>0.1875</v>
      </c>
      <c r="J81" s="7">
        <f t="shared" si="6"/>
        <v>0</v>
      </c>
      <c r="K81" s="7">
        <f t="shared" si="10"/>
        <v>0</v>
      </c>
      <c r="L81" s="7">
        <f t="shared" si="11"/>
        <v>0.23</v>
      </c>
    </row>
    <row r="82" spans="2:12" ht="187.2" x14ac:dyDescent="0.3">
      <c r="B82" s="5">
        <v>2050</v>
      </c>
      <c r="C82" s="5" t="s">
        <v>56</v>
      </c>
      <c r="D82" s="6" t="s">
        <v>107</v>
      </c>
      <c r="E82" s="7">
        <v>1</v>
      </c>
      <c r="F82" s="7">
        <v>0.55000000000000004</v>
      </c>
      <c r="G82" s="7">
        <f t="shared" si="7"/>
        <v>0.41250000000000003</v>
      </c>
      <c r="H82" s="7">
        <f t="shared" si="8"/>
        <v>0.25</v>
      </c>
      <c r="I82" s="7">
        <f t="shared" si="9"/>
        <v>0.1875</v>
      </c>
      <c r="J82" s="7">
        <f t="shared" si="6"/>
        <v>0</v>
      </c>
      <c r="K82" s="7">
        <f t="shared" si="10"/>
        <v>0</v>
      </c>
      <c r="L82" s="7">
        <f t="shared" si="11"/>
        <v>0.23</v>
      </c>
    </row>
    <row r="83" spans="2:12" ht="72" x14ac:dyDescent="0.3">
      <c r="B83" s="7">
        <v>2051</v>
      </c>
      <c r="C83" s="7" t="s">
        <v>56</v>
      </c>
      <c r="D83" s="8" t="s">
        <v>108</v>
      </c>
      <c r="E83" s="7">
        <v>2</v>
      </c>
      <c r="F83" s="7">
        <v>0.44</v>
      </c>
      <c r="G83" s="7">
        <f t="shared" si="7"/>
        <v>0.39600000000000002</v>
      </c>
      <c r="H83" s="7">
        <f t="shared" si="8"/>
        <v>0.25</v>
      </c>
      <c r="I83" s="7">
        <f t="shared" si="9"/>
        <v>0.22500000000000001</v>
      </c>
      <c r="J83" s="7">
        <f t="shared" si="6"/>
        <v>0</v>
      </c>
      <c r="K83" s="7">
        <f t="shared" si="10"/>
        <v>0</v>
      </c>
      <c r="L83" s="7">
        <f t="shared" si="11"/>
        <v>0.23</v>
      </c>
    </row>
    <row r="84" spans="2:12" ht="115.2" x14ac:dyDescent="0.3">
      <c r="B84" s="5">
        <v>2052</v>
      </c>
      <c r="C84" s="5" t="s">
        <v>56</v>
      </c>
      <c r="D84" s="6" t="s">
        <v>109</v>
      </c>
      <c r="E84" s="7">
        <v>1</v>
      </c>
      <c r="F84" s="7">
        <v>5.29</v>
      </c>
      <c r="G84" s="7">
        <f t="shared" si="7"/>
        <v>3.9675000000000002</v>
      </c>
      <c r="H84" s="7">
        <f t="shared" si="8"/>
        <v>0.25</v>
      </c>
      <c r="I84" s="7">
        <f t="shared" si="9"/>
        <v>0.1875</v>
      </c>
      <c r="J84" s="7">
        <f t="shared" si="6"/>
        <v>0</v>
      </c>
      <c r="K84" s="7">
        <f t="shared" si="10"/>
        <v>0</v>
      </c>
      <c r="L84" s="7">
        <f t="shared" si="11"/>
        <v>0.23</v>
      </c>
    </row>
    <row r="85" spans="2:12" ht="403.2" x14ac:dyDescent="0.3">
      <c r="B85" s="7">
        <v>2053</v>
      </c>
      <c r="C85" s="7" t="s">
        <v>56</v>
      </c>
      <c r="D85" s="8" t="s">
        <v>110</v>
      </c>
      <c r="E85" s="7">
        <v>4</v>
      </c>
      <c r="F85" s="7">
        <v>1.32</v>
      </c>
      <c r="G85" s="7">
        <f t="shared" si="7"/>
        <v>3.4320000000000004</v>
      </c>
      <c r="H85" s="7">
        <f t="shared" si="8"/>
        <v>0.25</v>
      </c>
      <c r="I85" s="7">
        <f t="shared" si="9"/>
        <v>0.65</v>
      </c>
      <c r="J85" s="7">
        <f t="shared" si="6"/>
        <v>0</v>
      </c>
      <c r="K85" s="7">
        <f t="shared" si="10"/>
        <v>0</v>
      </c>
      <c r="L85" s="7">
        <f t="shared" si="11"/>
        <v>0.23</v>
      </c>
    </row>
    <row r="86" spans="2:12" ht="115.2" x14ac:dyDescent="0.3">
      <c r="B86" s="5">
        <v>2054</v>
      </c>
      <c r="C86" s="5" t="s">
        <v>56</v>
      </c>
      <c r="D86" s="6" t="s">
        <v>111</v>
      </c>
      <c r="E86" s="7">
        <v>1</v>
      </c>
      <c r="F86" s="7">
        <v>1.49</v>
      </c>
      <c r="G86" s="7">
        <f t="shared" si="7"/>
        <v>1.1174999999999999</v>
      </c>
      <c r="H86" s="7">
        <f t="shared" si="8"/>
        <v>0.25</v>
      </c>
      <c r="I86" s="7">
        <f t="shared" si="9"/>
        <v>0.1875</v>
      </c>
      <c r="J86" s="7">
        <f t="shared" si="6"/>
        <v>0</v>
      </c>
      <c r="K86" s="7">
        <f t="shared" si="10"/>
        <v>0</v>
      </c>
      <c r="L86" s="7">
        <f t="shared" si="11"/>
        <v>0.23</v>
      </c>
    </row>
    <row r="87" spans="2:12" ht="43.2" x14ac:dyDescent="0.3">
      <c r="B87" s="5">
        <v>2055</v>
      </c>
      <c r="C87" s="5" t="s">
        <v>56</v>
      </c>
      <c r="D87" s="6" t="s">
        <v>112</v>
      </c>
      <c r="E87" s="7">
        <v>1</v>
      </c>
      <c r="F87" s="7">
        <v>0.67</v>
      </c>
      <c r="G87" s="7">
        <f t="shared" si="7"/>
        <v>0.50250000000000006</v>
      </c>
      <c r="H87" s="7">
        <f t="shared" si="8"/>
        <v>0.25</v>
      </c>
      <c r="I87" s="7">
        <f t="shared" si="9"/>
        <v>0.1875</v>
      </c>
      <c r="J87" s="7">
        <f t="shared" si="6"/>
        <v>0</v>
      </c>
      <c r="K87" s="7">
        <f t="shared" si="10"/>
        <v>0</v>
      </c>
      <c r="L87" s="7">
        <f t="shared" si="11"/>
        <v>0.23</v>
      </c>
    </row>
    <row r="88" spans="2:12" ht="57.6" x14ac:dyDescent="0.3">
      <c r="B88" s="5">
        <v>2056</v>
      </c>
      <c r="C88" s="5" t="s">
        <v>56</v>
      </c>
      <c r="D88" s="6" t="s">
        <v>113</v>
      </c>
      <c r="E88" s="7">
        <v>1</v>
      </c>
      <c r="F88" s="7">
        <v>0.56999999999999995</v>
      </c>
      <c r="G88" s="7">
        <f t="shared" si="7"/>
        <v>0.42749999999999999</v>
      </c>
      <c r="H88" s="7">
        <f t="shared" si="8"/>
        <v>0.25</v>
      </c>
      <c r="I88" s="7">
        <f t="shared" si="9"/>
        <v>0.1875</v>
      </c>
      <c r="J88" s="7">
        <f t="shared" si="6"/>
        <v>0</v>
      </c>
      <c r="K88" s="7">
        <f t="shared" si="10"/>
        <v>0</v>
      </c>
      <c r="L88" s="7">
        <f t="shared" si="11"/>
        <v>0.23</v>
      </c>
    </row>
    <row r="89" spans="2:12" ht="28.8" x14ac:dyDescent="0.3">
      <c r="B89" s="7">
        <v>2057</v>
      </c>
      <c r="C89" s="7" t="s">
        <v>56</v>
      </c>
      <c r="D89" s="8" t="s">
        <v>114</v>
      </c>
      <c r="E89" s="7">
        <v>2</v>
      </c>
      <c r="F89" s="7">
        <v>2.48</v>
      </c>
      <c r="G89" s="7">
        <f t="shared" si="7"/>
        <v>2.2320000000000002</v>
      </c>
      <c r="H89" s="7">
        <f t="shared" si="8"/>
        <v>0.25</v>
      </c>
      <c r="I89" s="7">
        <f t="shared" si="9"/>
        <v>0.22500000000000001</v>
      </c>
      <c r="J89" s="7">
        <f t="shared" si="6"/>
        <v>0</v>
      </c>
      <c r="K89" s="7">
        <f t="shared" si="10"/>
        <v>0</v>
      </c>
      <c r="L89" s="7">
        <f t="shared" si="11"/>
        <v>0.23</v>
      </c>
    </row>
    <row r="90" spans="2:12" ht="158.4" x14ac:dyDescent="0.3">
      <c r="B90" s="5">
        <v>2058</v>
      </c>
      <c r="C90" s="5" t="s">
        <v>56</v>
      </c>
      <c r="D90" s="6" t="s">
        <v>115</v>
      </c>
      <c r="E90" s="7">
        <v>1</v>
      </c>
      <c r="F90" s="7">
        <v>1.28</v>
      </c>
      <c r="G90" s="7">
        <f t="shared" si="7"/>
        <v>0.96</v>
      </c>
      <c r="H90" s="7">
        <f t="shared" si="8"/>
        <v>0.25</v>
      </c>
      <c r="I90" s="7">
        <f t="shared" si="9"/>
        <v>0.1875</v>
      </c>
      <c r="J90" s="7">
        <f t="shared" si="6"/>
        <v>0</v>
      </c>
      <c r="K90" s="7">
        <f t="shared" si="10"/>
        <v>0</v>
      </c>
      <c r="L90" s="7">
        <f t="shared" si="11"/>
        <v>0.23</v>
      </c>
    </row>
    <row r="91" spans="2:12" ht="115.2" x14ac:dyDescent="0.3">
      <c r="B91" s="5">
        <v>2059</v>
      </c>
      <c r="C91" s="5" t="s">
        <v>56</v>
      </c>
      <c r="D91" s="6" t="s">
        <v>116</v>
      </c>
      <c r="E91" s="7">
        <v>1</v>
      </c>
      <c r="F91" s="7">
        <v>0.52</v>
      </c>
      <c r="G91" s="7">
        <f t="shared" si="7"/>
        <v>0.39</v>
      </c>
      <c r="H91" s="7">
        <f t="shared" si="8"/>
        <v>0.25</v>
      </c>
      <c r="I91" s="7">
        <f t="shared" si="9"/>
        <v>0.1875</v>
      </c>
      <c r="J91" s="7">
        <f t="shared" si="6"/>
        <v>0</v>
      </c>
      <c r="K91" s="7">
        <f t="shared" si="10"/>
        <v>0</v>
      </c>
      <c r="L91" s="7">
        <f t="shared" si="11"/>
        <v>0.23</v>
      </c>
    </row>
    <row r="92" spans="2:12" ht="216" x14ac:dyDescent="0.3">
      <c r="B92" s="7">
        <v>2060</v>
      </c>
      <c r="C92" s="7" t="s">
        <v>56</v>
      </c>
      <c r="D92" s="8" t="s">
        <v>117</v>
      </c>
      <c r="E92" s="7">
        <v>3</v>
      </c>
      <c r="F92" s="7">
        <v>0.98</v>
      </c>
      <c r="G92" s="7">
        <f t="shared" si="7"/>
        <v>1.2250000000000001</v>
      </c>
      <c r="H92" s="7">
        <f t="shared" si="8"/>
        <v>0.25</v>
      </c>
      <c r="I92" s="7">
        <f t="shared" si="9"/>
        <v>0.3125</v>
      </c>
      <c r="J92" s="7">
        <f t="shared" si="6"/>
        <v>0</v>
      </c>
      <c r="K92" s="7">
        <f t="shared" si="10"/>
        <v>0</v>
      </c>
      <c r="L92" s="7">
        <f t="shared" si="11"/>
        <v>0.23</v>
      </c>
    </row>
    <row r="93" spans="2:12" ht="158.4" x14ac:dyDescent="0.3">
      <c r="B93" s="5">
        <v>2209</v>
      </c>
      <c r="C93" s="5" t="s">
        <v>56</v>
      </c>
      <c r="D93" s="6" t="s">
        <v>118</v>
      </c>
      <c r="E93" s="7">
        <v>1</v>
      </c>
      <c r="F93" s="7">
        <v>0.88</v>
      </c>
      <c r="G93" s="7">
        <f t="shared" si="7"/>
        <v>0.66</v>
      </c>
      <c r="H93" s="7">
        <f t="shared" si="8"/>
        <v>0.25</v>
      </c>
      <c r="I93" s="7">
        <f t="shared" si="9"/>
        <v>0.1875</v>
      </c>
      <c r="J93" s="7">
        <f t="shared" si="6"/>
        <v>0</v>
      </c>
      <c r="K93" s="7">
        <f t="shared" si="10"/>
        <v>0</v>
      </c>
      <c r="L93" s="7">
        <f t="shared" si="11"/>
        <v>0.23</v>
      </c>
    </row>
    <row r="94" spans="2:12" ht="100.8" x14ac:dyDescent="0.3">
      <c r="B94" s="7">
        <v>2061</v>
      </c>
      <c r="C94" s="7" t="s">
        <v>56</v>
      </c>
      <c r="D94" s="8" t="s">
        <v>119</v>
      </c>
      <c r="E94" s="7">
        <v>2</v>
      </c>
      <c r="F94" s="7">
        <v>0.77</v>
      </c>
      <c r="G94" s="7">
        <f t="shared" si="7"/>
        <v>0.69300000000000006</v>
      </c>
      <c r="H94" s="7">
        <f t="shared" si="8"/>
        <v>0.25</v>
      </c>
      <c r="I94" s="7">
        <f t="shared" si="9"/>
        <v>0.22500000000000001</v>
      </c>
      <c r="J94" s="7">
        <f t="shared" si="6"/>
        <v>0</v>
      </c>
      <c r="K94" s="7">
        <f t="shared" si="10"/>
        <v>0</v>
      </c>
      <c r="L94" s="7">
        <f t="shared" si="11"/>
        <v>0.23</v>
      </c>
    </row>
    <row r="95" spans="2:12" ht="57.6" x14ac:dyDescent="0.3">
      <c r="B95" s="5">
        <v>2062</v>
      </c>
      <c r="C95" s="5" t="s">
        <v>56</v>
      </c>
      <c r="D95" s="6" t="s">
        <v>120</v>
      </c>
      <c r="E95" s="7">
        <v>1</v>
      </c>
      <c r="F95" s="7">
        <v>2.36</v>
      </c>
      <c r="G95" s="7">
        <f t="shared" si="7"/>
        <v>1.77</v>
      </c>
      <c r="H95" s="7">
        <f t="shared" si="8"/>
        <v>0.25</v>
      </c>
      <c r="I95" s="7">
        <f t="shared" si="9"/>
        <v>0.1875</v>
      </c>
      <c r="J95" s="7">
        <f t="shared" si="6"/>
        <v>0</v>
      </c>
      <c r="K95" s="7">
        <f t="shared" si="10"/>
        <v>0</v>
      </c>
      <c r="L95" s="7">
        <f t="shared" si="11"/>
        <v>0.23</v>
      </c>
    </row>
    <row r="96" spans="2:12" ht="57.6" x14ac:dyDescent="0.3">
      <c r="B96" s="7">
        <v>2063</v>
      </c>
      <c r="C96" s="7" t="s">
        <v>56</v>
      </c>
      <c r="D96" s="8" t="s">
        <v>121</v>
      </c>
      <c r="E96" s="7">
        <v>3</v>
      </c>
      <c r="F96" s="7">
        <v>2.15</v>
      </c>
      <c r="G96" s="7">
        <f t="shared" si="7"/>
        <v>2.6875</v>
      </c>
      <c r="H96" s="7">
        <f t="shared" si="8"/>
        <v>0.25</v>
      </c>
      <c r="I96" s="7">
        <f t="shared" si="9"/>
        <v>0.3125</v>
      </c>
      <c r="J96" s="7">
        <f t="shared" si="6"/>
        <v>0</v>
      </c>
      <c r="K96" s="7">
        <f t="shared" si="10"/>
        <v>0</v>
      </c>
      <c r="L96" s="7">
        <f t="shared" si="11"/>
        <v>0.23</v>
      </c>
    </row>
    <row r="97" spans="2:12" ht="72" x14ac:dyDescent="0.3">
      <c r="B97" s="7">
        <v>2064</v>
      </c>
      <c r="C97" s="7" t="s">
        <v>56</v>
      </c>
      <c r="D97" s="8" t="s">
        <v>122</v>
      </c>
      <c r="E97" s="7">
        <v>4</v>
      </c>
      <c r="F97" s="7">
        <v>2.39</v>
      </c>
      <c r="G97" s="7">
        <f t="shared" si="7"/>
        <v>6.2140000000000004</v>
      </c>
      <c r="H97" s="7">
        <f t="shared" si="8"/>
        <v>0.25</v>
      </c>
      <c r="I97" s="7">
        <f t="shared" si="9"/>
        <v>0.65</v>
      </c>
      <c r="J97" s="7">
        <f t="shared" ref="J97:J160" si="12">J96</f>
        <v>0</v>
      </c>
      <c r="K97" s="7">
        <f t="shared" si="10"/>
        <v>0</v>
      </c>
      <c r="L97" s="7">
        <f t="shared" si="11"/>
        <v>0.23</v>
      </c>
    </row>
    <row r="98" spans="2:12" ht="43.2" x14ac:dyDescent="0.3">
      <c r="B98" s="5">
        <v>2065</v>
      </c>
      <c r="C98" s="5" t="s">
        <v>56</v>
      </c>
      <c r="D98" s="6" t="s">
        <v>123</v>
      </c>
      <c r="E98" s="7">
        <v>1</v>
      </c>
      <c r="F98" s="7">
        <v>0.74</v>
      </c>
      <c r="G98" s="7">
        <f t="shared" si="7"/>
        <v>0.55499999999999994</v>
      </c>
      <c r="H98" s="7">
        <f t="shared" si="8"/>
        <v>0.25</v>
      </c>
      <c r="I98" s="7">
        <f t="shared" si="9"/>
        <v>0.1875</v>
      </c>
      <c r="J98" s="7">
        <f t="shared" si="12"/>
        <v>0</v>
      </c>
      <c r="K98" s="7">
        <f t="shared" si="10"/>
        <v>0</v>
      </c>
      <c r="L98" s="7">
        <f t="shared" si="11"/>
        <v>0.23</v>
      </c>
    </row>
    <row r="99" spans="2:12" ht="100.8" x14ac:dyDescent="0.3">
      <c r="B99" s="5">
        <v>2066</v>
      </c>
      <c r="C99" s="5" t="s">
        <v>56</v>
      </c>
      <c r="D99" s="6" t="s">
        <v>124</v>
      </c>
      <c r="E99" s="7">
        <v>1</v>
      </c>
      <c r="F99" s="7">
        <v>1.44</v>
      </c>
      <c r="G99" s="7">
        <f t="shared" si="7"/>
        <v>1.08</v>
      </c>
      <c r="H99" s="7">
        <f t="shared" si="8"/>
        <v>0.25</v>
      </c>
      <c r="I99" s="7">
        <f t="shared" si="9"/>
        <v>0.1875</v>
      </c>
      <c r="J99" s="7">
        <f t="shared" si="12"/>
        <v>0</v>
      </c>
      <c r="K99" s="7">
        <f t="shared" si="10"/>
        <v>0</v>
      </c>
      <c r="L99" s="7">
        <f t="shared" si="11"/>
        <v>0.23</v>
      </c>
    </row>
    <row r="100" spans="2:12" ht="72" x14ac:dyDescent="0.3">
      <c r="B100" s="5">
        <v>2067</v>
      </c>
      <c r="C100" s="5" t="s">
        <v>56</v>
      </c>
      <c r="D100" s="6" t="s">
        <v>125</v>
      </c>
      <c r="E100" s="7">
        <v>1</v>
      </c>
      <c r="F100" s="7">
        <v>1.1200000000000001</v>
      </c>
      <c r="G100" s="7">
        <f t="shared" si="7"/>
        <v>0.84000000000000008</v>
      </c>
      <c r="H100" s="7">
        <f t="shared" si="8"/>
        <v>0.25</v>
      </c>
      <c r="I100" s="7">
        <f t="shared" si="9"/>
        <v>0.1875</v>
      </c>
      <c r="J100" s="7">
        <f t="shared" si="12"/>
        <v>0</v>
      </c>
      <c r="K100" s="7">
        <f t="shared" si="10"/>
        <v>0</v>
      </c>
      <c r="L100" s="7">
        <f t="shared" si="11"/>
        <v>0.23</v>
      </c>
    </row>
    <row r="101" spans="2:12" ht="57.6" x14ac:dyDescent="0.3">
      <c r="B101" s="5">
        <v>2231</v>
      </c>
      <c r="C101" s="5" t="s">
        <v>56</v>
      </c>
      <c r="D101" s="6" t="s">
        <v>126</v>
      </c>
      <c r="E101" s="7">
        <v>1</v>
      </c>
      <c r="F101" s="7">
        <v>1.18</v>
      </c>
      <c r="G101" s="7">
        <f t="shared" si="7"/>
        <v>0.88500000000000001</v>
      </c>
      <c r="H101" s="7">
        <f t="shared" si="8"/>
        <v>0.25</v>
      </c>
      <c r="I101" s="7">
        <f t="shared" si="9"/>
        <v>0.1875</v>
      </c>
      <c r="J101" s="7">
        <f t="shared" si="12"/>
        <v>0</v>
      </c>
      <c r="K101" s="7">
        <f t="shared" si="10"/>
        <v>0</v>
      </c>
      <c r="L101" s="7">
        <f t="shared" si="11"/>
        <v>0.23</v>
      </c>
    </row>
    <row r="102" spans="2:12" ht="28.8" x14ac:dyDescent="0.3">
      <c r="B102" s="5">
        <v>2068</v>
      </c>
      <c r="C102" s="5" t="s">
        <v>56</v>
      </c>
      <c r="D102" s="6" t="s">
        <v>127</v>
      </c>
      <c r="E102" s="7">
        <v>1</v>
      </c>
      <c r="F102" s="7">
        <v>0.83</v>
      </c>
      <c r="G102" s="7">
        <f t="shared" si="7"/>
        <v>0.62249999999999994</v>
      </c>
      <c r="H102" s="7">
        <f t="shared" si="8"/>
        <v>0.25</v>
      </c>
      <c r="I102" s="7">
        <f t="shared" si="9"/>
        <v>0.1875</v>
      </c>
      <c r="J102" s="7">
        <f t="shared" si="12"/>
        <v>0</v>
      </c>
      <c r="K102" s="7">
        <f t="shared" si="10"/>
        <v>0</v>
      </c>
      <c r="L102" s="7">
        <f t="shared" si="11"/>
        <v>0.23</v>
      </c>
    </row>
    <row r="103" spans="2:12" ht="72" x14ac:dyDescent="0.3">
      <c r="B103" s="5">
        <v>2069</v>
      </c>
      <c r="C103" s="5" t="s">
        <v>56</v>
      </c>
      <c r="D103" s="6" t="s">
        <v>128</v>
      </c>
      <c r="E103" s="7">
        <v>1</v>
      </c>
      <c r="F103" s="7">
        <v>1.1599999999999999</v>
      </c>
      <c r="G103" s="7">
        <f t="shared" si="7"/>
        <v>0.86999999999999988</v>
      </c>
      <c r="H103" s="7">
        <f t="shared" si="8"/>
        <v>0.25</v>
      </c>
      <c r="I103" s="7">
        <f t="shared" si="9"/>
        <v>0.1875</v>
      </c>
      <c r="J103" s="7">
        <f t="shared" si="12"/>
        <v>0</v>
      </c>
      <c r="K103" s="7">
        <f t="shared" si="10"/>
        <v>0</v>
      </c>
      <c r="L103" s="7">
        <f t="shared" si="11"/>
        <v>0.23</v>
      </c>
    </row>
    <row r="104" spans="2:12" ht="100.8" x14ac:dyDescent="0.3">
      <c r="B104" s="7">
        <v>2070</v>
      </c>
      <c r="C104" s="7" t="s">
        <v>56</v>
      </c>
      <c r="D104" s="8" t="s">
        <v>129</v>
      </c>
      <c r="E104" s="7">
        <v>3</v>
      </c>
      <c r="F104" s="7">
        <v>0.54</v>
      </c>
      <c r="G104" s="7">
        <f t="shared" si="7"/>
        <v>0.67500000000000004</v>
      </c>
      <c r="H104" s="7">
        <f t="shared" si="8"/>
        <v>0.25</v>
      </c>
      <c r="I104" s="7">
        <f t="shared" si="9"/>
        <v>0.3125</v>
      </c>
      <c r="J104" s="7">
        <f t="shared" si="12"/>
        <v>0</v>
      </c>
      <c r="K104" s="7">
        <f t="shared" si="10"/>
        <v>0</v>
      </c>
      <c r="L104" s="7">
        <f t="shared" si="11"/>
        <v>0.23</v>
      </c>
    </row>
    <row r="105" spans="2:12" ht="86.4" x14ac:dyDescent="0.3">
      <c r="B105" s="5">
        <v>2071</v>
      </c>
      <c r="C105" s="5" t="s">
        <v>56</v>
      </c>
      <c r="D105" s="6" t="s">
        <v>130</v>
      </c>
      <c r="E105" s="7">
        <v>1</v>
      </c>
      <c r="F105" s="7">
        <v>1.06</v>
      </c>
      <c r="G105" s="7">
        <f t="shared" si="7"/>
        <v>0.79500000000000004</v>
      </c>
      <c r="H105" s="7">
        <f t="shared" si="8"/>
        <v>0.25</v>
      </c>
      <c r="I105" s="7">
        <f t="shared" si="9"/>
        <v>0.1875</v>
      </c>
      <c r="J105" s="7">
        <f t="shared" si="12"/>
        <v>0</v>
      </c>
      <c r="K105" s="7">
        <f t="shared" si="10"/>
        <v>0</v>
      </c>
      <c r="L105" s="7">
        <f t="shared" si="11"/>
        <v>0.23</v>
      </c>
    </row>
    <row r="106" spans="2:12" ht="72" x14ac:dyDescent="0.3">
      <c r="B106" s="7">
        <v>2072</v>
      </c>
      <c r="C106" s="7" t="s">
        <v>56</v>
      </c>
      <c r="D106" s="8" t="s">
        <v>131</v>
      </c>
      <c r="E106" s="7">
        <v>3</v>
      </c>
      <c r="F106" s="7">
        <v>1</v>
      </c>
      <c r="G106" s="7">
        <f t="shared" si="7"/>
        <v>1.25</v>
      </c>
      <c r="H106" s="7">
        <f t="shared" si="8"/>
        <v>0.25</v>
      </c>
      <c r="I106" s="7">
        <f t="shared" si="9"/>
        <v>0.3125</v>
      </c>
      <c r="J106" s="7">
        <f t="shared" si="12"/>
        <v>0</v>
      </c>
      <c r="K106" s="7">
        <f t="shared" si="10"/>
        <v>0</v>
      </c>
      <c r="L106" s="7">
        <f t="shared" si="11"/>
        <v>0.23</v>
      </c>
    </row>
    <row r="107" spans="2:12" ht="43.2" x14ac:dyDescent="0.3">
      <c r="B107" s="7">
        <v>2074</v>
      </c>
      <c r="C107" s="7" t="s">
        <v>56</v>
      </c>
      <c r="D107" s="8" t="s">
        <v>132</v>
      </c>
      <c r="E107" s="7">
        <v>4</v>
      </c>
      <c r="F107" s="7">
        <v>1.01</v>
      </c>
      <c r="G107" s="7">
        <f t="shared" si="7"/>
        <v>2.6260000000000003</v>
      </c>
      <c r="H107" s="7">
        <f t="shared" si="8"/>
        <v>0.25</v>
      </c>
      <c r="I107" s="7">
        <f t="shared" si="9"/>
        <v>0.65</v>
      </c>
      <c r="J107" s="7">
        <f t="shared" si="12"/>
        <v>0</v>
      </c>
      <c r="K107" s="7">
        <f t="shared" si="10"/>
        <v>0</v>
      </c>
      <c r="L107" s="7">
        <f t="shared" si="11"/>
        <v>0.23</v>
      </c>
    </row>
    <row r="108" spans="2:12" ht="100.8" x14ac:dyDescent="0.3">
      <c r="B108" s="5">
        <v>2221</v>
      </c>
      <c r="C108" s="5" t="s">
        <v>56</v>
      </c>
      <c r="D108" s="6" t="s">
        <v>133</v>
      </c>
      <c r="E108" s="7">
        <v>1</v>
      </c>
      <c r="F108" s="7">
        <v>0.66</v>
      </c>
      <c r="G108" s="7">
        <f t="shared" si="7"/>
        <v>0.495</v>
      </c>
      <c r="H108" s="7">
        <f t="shared" si="8"/>
        <v>0.25</v>
      </c>
      <c r="I108" s="7">
        <f t="shared" si="9"/>
        <v>0.1875</v>
      </c>
      <c r="J108" s="7">
        <f t="shared" si="12"/>
        <v>0</v>
      </c>
      <c r="K108" s="7">
        <f t="shared" si="10"/>
        <v>0</v>
      </c>
      <c r="L108" s="7">
        <f t="shared" si="11"/>
        <v>0.23</v>
      </c>
    </row>
    <row r="109" spans="2:12" ht="72" x14ac:dyDescent="0.3">
      <c r="B109" s="5">
        <v>2210</v>
      </c>
      <c r="C109" s="5" t="s">
        <v>56</v>
      </c>
      <c r="D109" s="6" t="s">
        <v>134</v>
      </c>
      <c r="E109" s="7">
        <v>1</v>
      </c>
      <c r="F109" s="7">
        <v>0.62</v>
      </c>
      <c r="G109" s="7">
        <f t="shared" si="7"/>
        <v>0.46499999999999997</v>
      </c>
      <c r="H109" s="7">
        <f t="shared" si="8"/>
        <v>0.25</v>
      </c>
      <c r="I109" s="7">
        <f t="shared" si="9"/>
        <v>0.1875</v>
      </c>
      <c r="J109" s="7">
        <f t="shared" si="12"/>
        <v>0</v>
      </c>
      <c r="K109" s="7">
        <f t="shared" si="10"/>
        <v>0</v>
      </c>
      <c r="L109" s="7">
        <f t="shared" si="11"/>
        <v>0.23</v>
      </c>
    </row>
    <row r="110" spans="2:12" ht="100.8" x14ac:dyDescent="0.3">
      <c r="B110" s="5">
        <v>2218</v>
      </c>
      <c r="C110" s="5" t="s">
        <v>56</v>
      </c>
      <c r="D110" s="6" t="s">
        <v>135</v>
      </c>
      <c r="E110" s="7">
        <v>1</v>
      </c>
      <c r="F110" s="7">
        <v>0.62</v>
      </c>
      <c r="G110" s="7">
        <f t="shared" si="7"/>
        <v>0.46499999999999997</v>
      </c>
      <c r="H110" s="7">
        <f t="shared" si="8"/>
        <v>0.25</v>
      </c>
      <c r="I110" s="7">
        <f t="shared" si="9"/>
        <v>0.1875</v>
      </c>
      <c r="J110" s="7">
        <f t="shared" si="12"/>
        <v>0</v>
      </c>
      <c r="K110" s="7">
        <f t="shared" si="10"/>
        <v>0</v>
      </c>
      <c r="L110" s="7">
        <f t="shared" si="11"/>
        <v>0.23</v>
      </c>
    </row>
    <row r="111" spans="2:12" ht="100.8" x14ac:dyDescent="0.3">
      <c r="B111" s="5">
        <v>2217</v>
      </c>
      <c r="C111" s="5" t="s">
        <v>56</v>
      </c>
      <c r="D111" s="6" t="s">
        <v>136</v>
      </c>
      <c r="E111" s="7">
        <v>1</v>
      </c>
      <c r="F111" s="7">
        <v>0.39</v>
      </c>
      <c r="G111" s="7">
        <f t="shared" si="7"/>
        <v>0.29249999999999998</v>
      </c>
      <c r="H111" s="7">
        <f t="shared" si="8"/>
        <v>0.25</v>
      </c>
      <c r="I111" s="7">
        <f t="shared" si="9"/>
        <v>0.1875</v>
      </c>
      <c r="J111" s="7">
        <f t="shared" si="12"/>
        <v>0</v>
      </c>
      <c r="K111" s="7">
        <f t="shared" si="10"/>
        <v>0</v>
      </c>
      <c r="L111" s="7">
        <f t="shared" si="11"/>
        <v>0.23</v>
      </c>
    </row>
    <row r="112" spans="2:12" ht="72" x14ac:dyDescent="0.3">
      <c r="B112" s="5">
        <v>2219</v>
      </c>
      <c r="C112" s="5" t="s">
        <v>56</v>
      </c>
      <c r="D112" s="6" t="s">
        <v>137</v>
      </c>
      <c r="E112" s="7">
        <v>1</v>
      </c>
      <c r="F112" s="7">
        <v>0.72</v>
      </c>
      <c r="G112" s="7">
        <f t="shared" si="7"/>
        <v>0.54</v>
      </c>
      <c r="H112" s="7">
        <f t="shared" si="8"/>
        <v>0.25</v>
      </c>
      <c r="I112" s="7">
        <f t="shared" si="9"/>
        <v>0.1875</v>
      </c>
      <c r="J112" s="7">
        <f t="shared" si="12"/>
        <v>0</v>
      </c>
      <c r="K112" s="7">
        <f t="shared" si="10"/>
        <v>0</v>
      </c>
      <c r="L112" s="7">
        <f t="shared" si="11"/>
        <v>0.23</v>
      </c>
    </row>
    <row r="113" spans="2:12" ht="129.6" x14ac:dyDescent="0.3">
      <c r="B113" s="5">
        <v>2073</v>
      </c>
      <c r="C113" s="5" t="s">
        <v>56</v>
      </c>
      <c r="D113" s="6" t="s">
        <v>138</v>
      </c>
      <c r="E113" s="7">
        <v>1</v>
      </c>
      <c r="F113" s="7">
        <v>0.19</v>
      </c>
      <c r="G113" s="7">
        <f t="shared" si="7"/>
        <v>0.14250000000000002</v>
      </c>
      <c r="H113" s="7">
        <f t="shared" si="8"/>
        <v>0.25</v>
      </c>
      <c r="I113" s="7">
        <f t="shared" si="9"/>
        <v>0.1875</v>
      </c>
      <c r="J113" s="7">
        <f t="shared" si="12"/>
        <v>0</v>
      </c>
      <c r="K113" s="7">
        <f t="shared" si="10"/>
        <v>0</v>
      </c>
      <c r="L113" s="7">
        <f t="shared" si="11"/>
        <v>0.23</v>
      </c>
    </row>
    <row r="114" spans="2:12" ht="158.4" x14ac:dyDescent="0.3">
      <c r="B114" s="7">
        <v>2075</v>
      </c>
      <c r="C114" s="7" t="s">
        <v>56</v>
      </c>
      <c r="D114" s="8" t="s">
        <v>139</v>
      </c>
      <c r="E114" s="7">
        <v>2</v>
      </c>
      <c r="F114" s="7">
        <v>0.38</v>
      </c>
      <c r="G114" s="7">
        <f t="shared" si="7"/>
        <v>0.34199999999999997</v>
      </c>
      <c r="H114" s="7">
        <f t="shared" si="8"/>
        <v>0.25</v>
      </c>
      <c r="I114" s="7">
        <f t="shared" si="9"/>
        <v>0.22500000000000001</v>
      </c>
      <c r="J114" s="7">
        <f t="shared" si="12"/>
        <v>0</v>
      </c>
      <c r="K114" s="7">
        <f t="shared" si="10"/>
        <v>0</v>
      </c>
      <c r="L114" s="7">
        <f t="shared" si="11"/>
        <v>0.23</v>
      </c>
    </row>
    <row r="115" spans="2:12" ht="115.2" x14ac:dyDescent="0.3">
      <c r="B115" s="5">
        <v>2076</v>
      </c>
      <c r="C115" s="5" t="s">
        <v>56</v>
      </c>
      <c r="D115" s="6" t="s">
        <v>140</v>
      </c>
      <c r="E115" s="7">
        <v>1</v>
      </c>
      <c r="F115" s="7">
        <v>0.65</v>
      </c>
      <c r="G115" s="7">
        <f t="shared" si="7"/>
        <v>0.48750000000000004</v>
      </c>
      <c r="H115" s="7">
        <f t="shared" si="8"/>
        <v>0.25</v>
      </c>
      <c r="I115" s="7">
        <f t="shared" si="9"/>
        <v>0.1875</v>
      </c>
      <c r="J115" s="7">
        <f t="shared" si="12"/>
        <v>0</v>
      </c>
      <c r="K115" s="7">
        <f t="shared" si="10"/>
        <v>0</v>
      </c>
      <c r="L115" s="7">
        <f t="shared" si="11"/>
        <v>0.23</v>
      </c>
    </row>
    <row r="116" spans="2:12" ht="115.2" x14ac:dyDescent="0.3">
      <c r="B116" s="5">
        <v>2227</v>
      </c>
      <c r="C116" s="5" t="s">
        <v>56</v>
      </c>
      <c r="D116" s="6" t="s">
        <v>141</v>
      </c>
      <c r="E116" s="7">
        <v>1</v>
      </c>
      <c r="F116" s="7">
        <v>1.63</v>
      </c>
      <c r="G116" s="7">
        <f t="shared" si="7"/>
        <v>1.2224999999999999</v>
      </c>
      <c r="H116" s="7">
        <f t="shared" si="8"/>
        <v>0.25</v>
      </c>
      <c r="I116" s="7">
        <f t="shared" si="9"/>
        <v>0.1875</v>
      </c>
      <c r="J116" s="7">
        <f t="shared" si="12"/>
        <v>0</v>
      </c>
      <c r="K116" s="7">
        <f t="shared" si="10"/>
        <v>0</v>
      </c>
      <c r="L116" s="7">
        <f t="shared" si="11"/>
        <v>0.23</v>
      </c>
    </row>
    <row r="117" spans="2:12" ht="72" x14ac:dyDescent="0.3">
      <c r="B117" s="5">
        <v>2222</v>
      </c>
      <c r="C117" s="5" t="s">
        <v>56</v>
      </c>
      <c r="D117" s="6" t="s">
        <v>142</v>
      </c>
      <c r="E117" s="7">
        <v>1</v>
      </c>
      <c r="F117" s="7">
        <v>0.44</v>
      </c>
      <c r="G117" s="7">
        <f t="shared" si="7"/>
        <v>0.33</v>
      </c>
      <c r="H117" s="7">
        <f t="shared" si="8"/>
        <v>0.25</v>
      </c>
      <c r="I117" s="7">
        <f t="shared" si="9"/>
        <v>0.1875</v>
      </c>
      <c r="J117" s="7">
        <f t="shared" si="12"/>
        <v>0</v>
      </c>
      <c r="K117" s="7">
        <f t="shared" si="10"/>
        <v>0</v>
      </c>
      <c r="L117" s="7">
        <f t="shared" si="11"/>
        <v>0.23</v>
      </c>
    </row>
    <row r="118" spans="2:12" ht="230.4" x14ac:dyDescent="0.3">
      <c r="B118" s="7">
        <v>2224</v>
      </c>
      <c r="C118" s="7" t="s">
        <v>56</v>
      </c>
      <c r="D118" s="8" t="s">
        <v>143</v>
      </c>
      <c r="E118" s="7">
        <v>4</v>
      </c>
      <c r="F118" s="7">
        <v>0.44</v>
      </c>
      <c r="G118" s="7">
        <f t="shared" si="7"/>
        <v>1.1440000000000001</v>
      </c>
      <c r="H118" s="7">
        <f t="shared" si="8"/>
        <v>0.25</v>
      </c>
      <c r="I118" s="7">
        <f t="shared" si="9"/>
        <v>0.65</v>
      </c>
      <c r="J118" s="7">
        <f t="shared" si="12"/>
        <v>0</v>
      </c>
      <c r="K118" s="7">
        <f t="shared" si="10"/>
        <v>0</v>
      </c>
      <c r="L118" s="7">
        <f t="shared" si="11"/>
        <v>0.23</v>
      </c>
    </row>
    <row r="119" spans="2:12" ht="259.2" x14ac:dyDescent="0.3">
      <c r="B119" s="5">
        <v>2225</v>
      </c>
      <c r="C119" s="5" t="s">
        <v>56</v>
      </c>
      <c r="D119" s="6" t="s">
        <v>144</v>
      </c>
      <c r="E119" s="7">
        <v>1</v>
      </c>
      <c r="F119" s="7">
        <v>0.79</v>
      </c>
      <c r="G119" s="7">
        <f t="shared" si="7"/>
        <v>0.59250000000000003</v>
      </c>
      <c r="H119" s="7">
        <f t="shared" si="8"/>
        <v>0.25</v>
      </c>
      <c r="I119" s="7">
        <f t="shared" si="9"/>
        <v>0.1875</v>
      </c>
      <c r="J119" s="7">
        <f t="shared" si="12"/>
        <v>0</v>
      </c>
      <c r="K119" s="7">
        <f t="shared" si="10"/>
        <v>0</v>
      </c>
      <c r="L119" s="7">
        <f t="shared" si="11"/>
        <v>0.23</v>
      </c>
    </row>
    <row r="120" spans="2:12" ht="43.2" x14ac:dyDescent="0.3">
      <c r="B120" s="5">
        <v>2077</v>
      </c>
      <c r="C120" s="5" t="s">
        <v>56</v>
      </c>
      <c r="D120" s="6" t="s">
        <v>145</v>
      </c>
      <c r="E120" s="7">
        <v>1</v>
      </c>
      <c r="F120" s="7">
        <v>2.58</v>
      </c>
      <c r="G120" s="7">
        <f t="shared" si="7"/>
        <v>1.9350000000000001</v>
      </c>
      <c r="H120" s="7">
        <f t="shared" si="8"/>
        <v>0.25</v>
      </c>
      <c r="I120" s="7">
        <f t="shared" si="9"/>
        <v>0.1875</v>
      </c>
      <c r="J120" s="7">
        <f t="shared" si="12"/>
        <v>0</v>
      </c>
      <c r="K120" s="7">
        <f t="shared" si="10"/>
        <v>0</v>
      </c>
      <c r="L120" s="7">
        <f t="shared" si="11"/>
        <v>0.23</v>
      </c>
    </row>
    <row r="121" spans="2:12" ht="57.6" x14ac:dyDescent="0.3">
      <c r="B121" s="5">
        <v>2078</v>
      </c>
      <c r="C121" s="5" t="s">
        <v>56</v>
      </c>
      <c r="D121" s="6" t="s">
        <v>146</v>
      </c>
      <c r="E121" s="7">
        <v>1</v>
      </c>
      <c r="F121" s="7">
        <v>2.0699999999999998</v>
      </c>
      <c r="G121" s="7">
        <f t="shared" si="7"/>
        <v>1.5524999999999998</v>
      </c>
      <c r="H121" s="7">
        <f t="shared" si="8"/>
        <v>0.25</v>
      </c>
      <c r="I121" s="7">
        <f t="shared" si="9"/>
        <v>0.1875</v>
      </c>
      <c r="J121" s="7">
        <f t="shared" si="12"/>
        <v>0</v>
      </c>
      <c r="K121" s="7">
        <f t="shared" si="10"/>
        <v>0</v>
      </c>
      <c r="L121" s="7">
        <f t="shared" si="11"/>
        <v>0.23</v>
      </c>
    </row>
    <row r="122" spans="2:12" ht="158.4" x14ac:dyDescent="0.3">
      <c r="B122" s="5">
        <v>2079</v>
      </c>
      <c r="C122" s="5" t="s">
        <v>56</v>
      </c>
      <c r="D122" s="6" t="s">
        <v>147</v>
      </c>
      <c r="E122" s="7">
        <v>1</v>
      </c>
      <c r="F122" s="7">
        <v>1.36</v>
      </c>
      <c r="G122" s="7">
        <f t="shared" si="7"/>
        <v>1.02</v>
      </c>
      <c r="H122" s="7">
        <f t="shared" si="8"/>
        <v>0.25</v>
      </c>
      <c r="I122" s="7">
        <f t="shared" si="9"/>
        <v>0.1875</v>
      </c>
      <c r="J122" s="7">
        <f t="shared" si="12"/>
        <v>0</v>
      </c>
      <c r="K122" s="7">
        <f t="shared" si="10"/>
        <v>0</v>
      </c>
      <c r="L122" s="7">
        <f t="shared" si="11"/>
        <v>0.23</v>
      </c>
    </row>
    <row r="123" spans="2:12" ht="72" x14ac:dyDescent="0.3">
      <c r="B123" s="5">
        <v>2080</v>
      </c>
      <c r="C123" s="5" t="s">
        <v>56</v>
      </c>
      <c r="D123" s="6" t="s">
        <v>148</v>
      </c>
      <c r="E123" s="7">
        <v>1</v>
      </c>
      <c r="F123" s="7">
        <v>2.39</v>
      </c>
      <c r="G123" s="7">
        <f t="shared" si="7"/>
        <v>1.7925</v>
      </c>
      <c r="H123" s="7">
        <f t="shared" si="8"/>
        <v>0.25</v>
      </c>
      <c r="I123" s="7">
        <f t="shared" si="9"/>
        <v>0.1875</v>
      </c>
      <c r="J123" s="7">
        <f t="shared" si="12"/>
        <v>0</v>
      </c>
      <c r="K123" s="7">
        <f t="shared" si="10"/>
        <v>0</v>
      </c>
      <c r="L123" s="7">
        <f t="shared" si="11"/>
        <v>0.23</v>
      </c>
    </row>
    <row r="124" spans="2:12" ht="43.2" x14ac:dyDescent="0.3">
      <c r="B124" s="5">
        <v>2081</v>
      </c>
      <c r="C124" s="5" t="s">
        <v>56</v>
      </c>
      <c r="D124" s="6" t="s">
        <v>149</v>
      </c>
      <c r="E124" s="7">
        <v>1</v>
      </c>
      <c r="F124" s="7">
        <v>2.4</v>
      </c>
      <c r="G124" s="7">
        <f t="shared" si="7"/>
        <v>1.7999999999999998</v>
      </c>
      <c r="H124" s="7">
        <f t="shared" si="8"/>
        <v>0.25</v>
      </c>
      <c r="I124" s="7">
        <f t="shared" si="9"/>
        <v>0.1875</v>
      </c>
      <c r="J124" s="7">
        <f t="shared" si="12"/>
        <v>0</v>
      </c>
      <c r="K124" s="7">
        <f t="shared" si="10"/>
        <v>0</v>
      </c>
      <c r="L124" s="7">
        <f t="shared" si="11"/>
        <v>0.23</v>
      </c>
    </row>
    <row r="125" spans="2:12" ht="43.2" x14ac:dyDescent="0.3">
      <c r="B125" s="5">
        <v>2082</v>
      </c>
      <c r="C125" s="5" t="s">
        <v>56</v>
      </c>
      <c r="D125" s="6" t="s">
        <v>150</v>
      </c>
      <c r="E125" s="7">
        <v>1</v>
      </c>
      <c r="F125" s="7">
        <v>1.1499999999999999</v>
      </c>
      <c r="G125" s="7">
        <f t="shared" si="7"/>
        <v>0.86249999999999993</v>
      </c>
      <c r="H125" s="7">
        <f t="shared" si="8"/>
        <v>0.25</v>
      </c>
      <c r="I125" s="7">
        <f t="shared" si="9"/>
        <v>0.1875</v>
      </c>
      <c r="J125" s="7">
        <f t="shared" si="12"/>
        <v>0</v>
      </c>
      <c r="K125" s="7">
        <f t="shared" si="10"/>
        <v>0</v>
      </c>
      <c r="L125" s="7">
        <f t="shared" si="11"/>
        <v>0.23</v>
      </c>
    </row>
    <row r="126" spans="2:12" ht="28.8" x14ac:dyDescent="0.3">
      <c r="B126" s="7">
        <v>2083</v>
      </c>
      <c r="C126" s="7" t="s">
        <v>56</v>
      </c>
      <c r="D126" s="8" t="s">
        <v>151</v>
      </c>
      <c r="E126" s="7">
        <v>2</v>
      </c>
      <c r="F126" s="7">
        <v>1.33</v>
      </c>
      <c r="G126" s="7">
        <f t="shared" si="7"/>
        <v>1.1970000000000001</v>
      </c>
      <c r="H126" s="7">
        <f t="shared" si="8"/>
        <v>0.25</v>
      </c>
      <c r="I126" s="7">
        <f t="shared" si="9"/>
        <v>0.22500000000000001</v>
      </c>
      <c r="J126" s="7">
        <f t="shared" si="12"/>
        <v>0</v>
      </c>
      <c r="K126" s="7">
        <f t="shared" si="10"/>
        <v>0</v>
      </c>
      <c r="L126" s="7">
        <f t="shared" si="11"/>
        <v>0.23</v>
      </c>
    </row>
    <row r="127" spans="2:12" ht="100.8" x14ac:dyDescent="0.3">
      <c r="B127" s="7">
        <v>2084</v>
      </c>
      <c r="C127" s="7" t="s">
        <v>56</v>
      </c>
      <c r="D127" s="8" t="s">
        <v>152</v>
      </c>
      <c r="E127" s="7">
        <v>3</v>
      </c>
      <c r="F127" s="7">
        <v>3.2</v>
      </c>
      <c r="G127" s="7">
        <f t="shared" si="7"/>
        <v>4</v>
      </c>
      <c r="H127" s="7">
        <f t="shared" si="8"/>
        <v>0.25</v>
      </c>
      <c r="I127" s="7">
        <f t="shared" si="9"/>
        <v>0.3125</v>
      </c>
      <c r="J127" s="7">
        <f t="shared" si="12"/>
        <v>0</v>
      </c>
      <c r="K127" s="7">
        <f t="shared" si="10"/>
        <v>0</v>
      </c>
      <c r="L127" s="7">
        <f t="shared" si="11"/>
        <v>0.23</v>
      </c>
    </row>
    <row r="128" spans="2:12" ht="57.6" x14ac:dyDescent="0.3">
      <c r="B128" s="7">
        <v>2085</v>
      </c>
      <c r="C128" s="7" t="s">
        <v>56</v>
      </c>
      <c r="D128" s="8" t="s">
        <v>153</v>
      </c>
      <c r="E128" s="7">
        <v>3</v>
      </c>
      <c r="F128" s="7">
        <v>2.98</v>
      </c>
      <c r="G128" s="7">
        <f t="shared" si="7"/>
        <v>3.7250000000000001</v>
      </c>
      <c r="H128" s="7">
        <f t="shared" si="8"/>
        <v>0.25</v>
      </c>
      <c r="I128" s="7">
        <f t="shared" si="9"/>
        <v>0.3125</v>
      </c>
      <c r="J128" s="7">
        <f t="shared" si="12"/>
        <v>0</v>
      </c>
      <c r="K128" s="7">
        <f t="shared" si="10"/>
        <v>0</v>
      </c>
      <c r="L128" s="7">
        <f t="shared" si="11"/>
        <v>0.23</v>
      </c>
    </row>
    <row r="129" spans="2:12" ht="57.6" x14ac:dyDescent="0.3">
      <c r="B129" s="5">
        <v>2086</v>
      </c>
      <c r="C129" s="5" t="s">
        <v>56</v>
      </c>
      <c r="D129" s="6" t="s">
        <v>154</v>
      </c>
      <c r="E129" s="7">
        <v>1</v>
      </c>
      <c r="F129" s="7">
        <v>2.8</v>
      </c>
      <c r="G129" s="7">
        <f t="shared" si="7"/>
        <v>2.0999999999999996</v>
      </c>
      <c r="H129" s="7">
        <f t="shared" si="8"/>
        <v>0.25</v>
      </c>
      <c r="I129" s="7">
        <f t="shared" si="9"/>
        <v>0.1875</v>
      </c>
      <c r="J129" s="7">
        <f t="shared" si="12"/>
        <v>0</v>
      </c>
      <c r="K129" s="7">
        <f t="shared" si="10"/>
        <v>0</v>
      </c>
      <c r="L129" s="7">
        <f t="shared" si="11"/>
        <v>0.23</v>
      </c>
    </row>
    <row r="130" spans="2:12" ht="72" x14ac:dyDescent="0.3">
      <c r="B130" s="5">
        <v>2087</v>
      </c>
      <c r="C130" s="5" t="s">
        <v>56</v>
      </c>
      <c r="D130" s="6" t="s">
        <v>155</v>
      </c>
      <c r="E130" s="7">
        <v>1</v>
      </c>
      <c r="F130" s="7">
        <v>0.96</v>
      </c>
      <c r="G130" s="7">
        <f t="shared" si="7"/>
        <v>0.72</v>
      </c>
      <c r="H130" s="7">
        <f t="shared" si="8"/>
        <v>0.25</v>
      </c>
      <c r="I130" s="7">
        <f t="shared" si="9"/>
        <v>0.1875</v>
      </c>
      <c r="J130" s="7">
        <f t="shared" si="12"/>
        <v>0</v>
      </c>
      <c r="K130" s="7">
        <f t="shared" si="10"/>
        <v>0</v>
      </c>
      <c r="L130" s="7">
        <f t="shared" si="11"/>
        <v>0.23</v>
      </c>
    </row>
    <row r="131" spans="2:12" ht="129.6" x14ac:dyDescent="0.3">
      <c r="B131" s="5">
        <v>2088</v>
      </c>
      <c r="C131" s="5" t="s">
        <v>56</v>
      </c>
      <c r="D131" s="6" t="s">
        <v>156</v>
      </c>
      <c r="E131" s="7">
        <v>1</v>
      </c>
      <c r="F131" s="7">
        <v>0.74</v>
      </c>
      <c r="G131" s="7">
        <f t="shared" si="7"/>
        <v>0.55499999999999994</v>
      </c>
      <c r="H131" s="7">
        <f t="shared" si="8"/>
        <v>0.25</v>
      </c>
      <c r="I131" s="7">
        <f t="shared" si="9"/>
        <v>0.1875</v>
      </c>
      <c r="J131" s="7">
        <f t="shared" si="12"/>
        <v>0</v>
      </c>
      <c r="K131" s="7">
        <f t="shared" si="10"/>
        <v>0</v>
      </c>
      <c r="L131" s="7">
        <f t="shared" si="11"/>
        <v>0.23</v>
      </c>
    </row>
    <row r="132" spans="2:12" ht="86.4" x14ac:dyDescent="0.3">
      <c r="B132" s="7">
        <v>2089</v>
      </c>
      <c r="C132" s="7" t="s">
        <v>56</v>
      </c>
      <c r="D132" s="8" t="s">
        <v>157</v>
      </c>
      <c r="E132" s="7">
        <v>2</v>
      </c>
      <c r="F132" s="7">
        <v>1.1200000000000001</v>
      </c>
      <c r="G132" s="7">
        <f t="shared" ref="G132:G195" si="13">IF(E132=1,(F132-(F132*0.25)),IF(E132=2,(F132-(F132*0.1)),IF(E132=3,(F132+(F132*0.25)),IF(E132=4,(F132+(F132*1.6)),0))))</f>
        <v>1.008</v>
      </c>
      <c r="H132" s="7">
        <f t="shared" ref="H132:H195" si="14">IF(C132="III",0.15,IF(C132="IV",0.25,IF(C132="V",0.25,IF(C132="VII",0.25,0))))</f>
        <v>0.25</v>
      </c>
      <c r="I132" s="7">
        <f t="shared" ref="I132:I195" si="15">IF(E132=1,(H132-(H132*0.25)),IF(E132=2,(H132-(H132*0.1)),IF(E132=3,(H132+(H132*0.25)),IF(E132=4,(H132+(H132*1.6)),0))))</f>
        <v>0.22500000000000001</v>
      </c>
      <c r="J132" s="7">
        <f t="shared" si="12"/>
        <v>0</v>
      </c>
      <c r="K132" s="7">
        <f t="shared" ref="K132:K195" si="16">IF(E132=1,(J132-(J132*0.25)),IF(E132=2,(J132-(J132*0.1)),IF(E132=3,(J132+(J132*0.25)),IF(E132=4,(J132+(J132*1.6)),0))))</f>
        <v>0</v>
      </c>
      <c r="L132" s="7">
        <f t="shared" ref="L132:L195" si="17">IF(C132="III",0.15,0.23)</f>
        <v>0.23</v>
      </c>
    </row>
    <row r="133" spans="2:12" ht="86.4" x14ac:dyDescent="0.3">
      <c r="B133" s="5">
        <v>2090</v>
      </c>
      <c r="C133" s="5" t="s">
        <v>56</v>
      </c>
      <c r="D133" s="6" t="s">
        <v>158</v>
      </c>
      <c r="E133" s="7">
        <v>1</v>
      </c>
      <c r="F133" s="7">
        <v>1.03</v>
      </c>
      <c r="G133" s="7">
        <f t="shared" si="13"/>
        <v>0.77249999999999996</v>
      </c>
      <c r="H133" s="7">
        <f t="shared" si="14"/>
        <v>0.25</v>
      </c>
      <c r="I133" s="7">
        <f t="shared" si="15"/>
        <v>0.1875</v>
      </c>
      <c r="J133" s="7">
        <f t="shared" si="12"/>
        <v>0</v>
      </c>
      <c r="K133" s="7">
        <f t="shared" si="16"/>
        <v>0</v>
      </c>
      <c r="L133" s="7">
        <f t="shared" si="17"/>
        <v>0.23</v>
      </c>
    </row>
    <row r="134" spans="2:12" ht="57.6" x14ac:dyDescent="0.3">
      <c r="B134" s="5">
        <v>2091</v>
      </c>
      <c r="C134" s="5" t="s">
        <v>56</v>
      </c>
      <c r="D134" s="6" t="s">
        <v>159</v>
      </c>
      <c r="E134" s="7">
        <v>1</v>
      </c>
      <c r="F134" s="7">
        <v>0.92</v>
      </c>
      <c r="G134" s="7">
        <f t="shared" si="13"/>
        <v>0.69000000000000006</v>
      </c>
      <c r="H134" s="7">
        <f t="shared" si="14"/>
        <v>0.25</v>
      </c>
      <c r="I134" s="7">
        <f t="shared" si="15"/>
        <v>0.1875</v>
      </c>
      <c r="J134" s="7">
        <f t="shared" si="12"/>
        <v>0</v>
      </c>
      <c r="K134" s="7">
        <f t="shared" si="16"/>
        <v>0</v>
      </c>
      <c r="L134" s="7">
        <f t="shared" si="17"/>
        <v>0.23</v>
      </c>
    </row>
    <row r="135" spans="2:12" ht="57.6" x14ac:dyDescent="0.3">
      <c r="B135" s="7">
        <v>2092</v>
      </c>
      <c r="C135" s="7" t="s">
        <v>56</v>
      </c>
      <c r="D135" s="8" t="s">
        <v>160</v>
      </c>
      <c r="E135" s="7">
        <v>4</v>
      </c>
      <c r="F135" s="7">
        <v>1.43</v>
      </c>
      <c r="G135" s="7">
        <f t="shared" si="13"/>
        <v>3.718</v>
      </c>
      <c r="H135" s="7">
        <f t="shared" si="14"/>
        <v>0.25</v>
      </c>
      <c r="I135" s="7">
        <f t="shared" si="15"/>
        <v>0.65</v>
      </c>
      <c r="J135" s="7">
        <f t="shared" si="12"/>
        <v>0</v>
      </c>
      <c r="K135" s="7">
        <f t="shared" si="16"/>
        <v>0</v>
      </c>
      <c r="L135" s="7">
        <f t="shared" si="17"/>
        <v>0.23</v>
      </c>
    </row>
    <row r="136" spans="2:12" ht="100.8" x14ac:dyDescent="0.3">
      <c r="B136" s="5">
        <v>2093</v>
      </c>
      <c r="C136" s="5" t="s">
        <v>56</v>
      </c>
      <c r="D136" s="6" t="s">
        <v>161</v>
      </c>
      <c r="E136" s="7">
        <v>1</v>
      </c>
      <c r="F136" s="7">
        <v>1.1000000000000001</v>
      </c>
      <c r="G136" s="7">
        <f t="shared" si="13"/>
        <v>0.82500000000000007</v>
      </c>
      <c r="H136" s="7">
        <f t="shared" si="14"/>
        <v>0.25</v>
      </c>
      <c r="I136" s="7">
        <f t="shared" si="15"/>
        <v>0.1875</v>
      </c>
      <c r="J136" s="7">
        <f t="shared" si="12"/>
        <v>0</v>
      </c>
      <c r="K136" s="7">
        <f t="shared" si="16"/>
        <v>0</v>
      </c>
      <c r="L136" s="7">
        <f t="shared" si="17"/>
        <v>0.23</v>
      </c>
    </row>
    <row r="137" spans="2:12" ht="72" x14ac:dyDescent="0.3">
      <c r="B137" s="5">
        <v>2094</v>
      </c>
      <c r="C137" s="5" t="s">
        <v>56</v>
      </c>
      <c r="D137" s="6" t="s">
        <v>162</v>
      </c>
      <c r="E137" s="7">
        <v>1</v>
      </c>
      <c r="F137" s="7">
        <v>0.74</v>
      </c>
      <c r="G137" s="7">
        <f t="shared" si="13"/>
        <v>0.55499999999999994</v>
      </c>
      <c r="H137" s="7">
        <f t="shared" si="14"/>
        <v>0.25</v>
      </c>
      <c r="I137" s="7">
        <f t="shared" si="15"/>
        <v>0.1875</v>
      </c>
      <c r="J137" s="7">
        <f t="shared" si="12"/>
        <v>0</v>
      </c>
      <c r="K137" s="7">
        <f t="shared" si="16"/>
        <v>0</v>
      </c>
      <c r="L137" s="7">
        <f t="shared" si="17"/>
        <v>0.23</v>
      </c>
    </row>
    <row r="138" spans="2:12" ht="144" x14ac:dyDescent="0.3">
      <c r="B138" s="5">
        <v>2098</v>
      </c>
      <c r="C138" s="5" t="s">
        <v>56</v>
      </c>
      <c r="D138" s="6" t="s">
        <v>163</v>
      </c>
      <c r="E138" s="7">
        <v>1</v>
      </c>
      <c r="F138" s="7">
        <v>1.04</v>
      </c>
      <c r="G138" s="7">
        <f t="shared" si="13"/>
        <v>0.78</v>
      </c>
      <c r="H138" s="7">
        <f t="shared" si="14"/>
        <v>0.25</v>
      </c>
      <c r="I138" s="7">
        <f t="shared" si="15"/>
        <v>0.1875</v>
      </c>
      <c r="J138" s="7">
        <f t="shared" si="12"/>
        <v>0</v>
      </c>
      <c r="K138" s="7">
        <f t="shared" si="16"/>
        <v>0</v>
      </c>
      <c r="L138" s="7">
        <f t="shared" si="17"/>
        <v>0.23</v>
      </c>
    </row>
    <row r="139" spans="2:12" ht="43.2" x14ac:dyDescent="0.3">
      <c r="B139" s="5">
        <v>2096</v>
      </c>
      <c r="C139" s="5" t="s">
        <v>56</v>
      </c>
      <c r="D139" s="6" t="s">
        <v>164</v>
      </c>
      <c r="E139" s="7">
        <v>1</v>
      </c>
      <c r="F139" s="7">
        <v>0.28000000000000003</v>
      </c>
      <c r="G139" s="7">
        <f t="shared" si="13"/>
        <v>0.21000000000000002</v>
      </c>
      <c r="H139" s="7">
        <f t="shared" si="14"/>
        <v>0.25</v>
      </c>
      <c r="I139" s="7">
        <f t="shared" si="15"/>
        <v>0.1875</v>
      </c>
      <c r="J139" s="7">
        <f t="shared" si="12"/>
        <v>0</v>
      </c>
      <c r="K139" s="7">
        <f t="shared" si="16"/>
        <v>0</v>
      </c>
      <c r="L139" s="7">
        <f t="shared" si="17"/>
        <v>0.23</v>
      </c>
    </row>
    <row r="140" spans="2:12" ht="86.4" x14ac:dyDescent="0.3">
      <c r="B140" s="5">
        <v>2095</v>
      </c>
      <c r="C140" s="5" t="s">
        <v>56</v>
      </c>
      <c r="D140" s="6" t="s">
        <v>165</v>
      </c>
      <c r="E140" s="7">
        <v>1</v>
      </c>
      <c r="F140" s="7">
        <v>0.66</v>
      </c>
      <c r="G140" s="7">
        <f t="shared" si="13"/>
        <v>0.495</v>
      </c>
      <c r="H140" s="7">
        <f t="shared" si="14"/>
        <v>0.25</v>
      </c>
      <c r="I140" s="7">
        <f t="shared" si="15"/>
        <v>0.1875</v>
      </c>
      <c r="J140" s="7">
        <f t="shared" si="12"/>
        <v>0</v>
      </c>
      <c r="K140" s="7">
        <f t="shared" si="16"/>
        <v>0</v>
      </c>
      <c r="L140" s="7">
        <f t="shared" si="17"/>
        <v>0.23</v>
      </c>
    </row>
    <row r="141" spans="2:12" ht="57.6" x14ac:dyDescent="0.3">
      <c r="B141" s="5">
        <v>2097</v>
      </c>
      <c r="C141" s="5" t="s">
        <v>56</v>
      </c>
      <c r="D141" s="6" t="s">
        <v>166</v>
      </c>
      <c r="E141" s="7">
        <v>1</v>
      </c>
      <c r="F141" s="7">
        <v>1.1299999999999999</v>
      </c>
      <c r="G141" s="7">
        <f t="shared" si="13"/>
        <v>0.84749999999999992</v>
      </c>
      <c r="H141" s="7">
        <f t="shared" si="14"/>
        <v>0.25</v>
      </c>
      <c r="I141" s="7">
        <f t="shared" si="15"/>
        <v>0.1875</v>
      </c>
      <c r="J141" s="7">
        <f t="shared" si="12"/>
        <v>0</v>
      </c>
      <c r="K141" s="7">
        <f t="shared" si="16"/>
        <v>0</v>
      </c>
      <c r="L141" s="7">
        <f t="shared" si="17"/>
        <v>0.23</v>
      </c>
    </row>
    <row r="142" spans="2:12" ht="57.6" x14ac:dyDescent="0.3">
      <c r="B142" s="5">
        <v>2099</v>
      </c>
      <c r="C142" s="5" t="s">
        <v>56</v>
      </c>
      <c r="D142" s="6" t="s">
        <v>167</v>
      </c>
      <c r="E142" s="7">
        <v>1</v>
      </c>
      <c r="F142" s="7">
        <v>1.72</v>
      </c>
      <c r="G142" s="7">
        <f t="shared" si="13"/>
        <v>1.29</v>
      </c>
      <c r="H142" s="7">
        <f t="shared" si="14"/>
        <v>0.25</v>
      </c>
      <c r="I142" s="7">
        <f t="shared" si="15"/>
        <v>0.1875</v>
      </c>
      <c r="J142" s="7">
        <f t="shared" si="12"/>
        <v>0</v>
      </c>
      <c r="K142" s="7">
        <f t="shared" si="16"/>
        <v>0</v>
      </c>
      <c r="L142" s="7">
        <f t="shared" si="17"/>
        <v>0.23</v>
      </c>
    </row>
    <row r="143" spans="2:12" ht="86.4" x14ac:dyDescent="0.3">
      <c r="B143" s="5">
        <v>2100</v>
      </c>
      <c r="C143" s="5" t="s">
        <v>56</v>
      </c>
      <c r="D143" s="6" t="s">
        <v>168</v>
      </c>
      <c r="E143" s="7">
        <v>1</v>
      </c>
      <c r="F143" s="7">
        <v>1.1100000000000001</v>
      </c>
      <c r="G143" s="7">
        <f t="shared" si="13"/>
        <v>0.83250000000000002</v>
      </c>
      <c r="H143" s="7">
        <f t="shared" si="14"/>
        <v>0.25</v>
      </c>
      <c r="I143" s="7">
        <f t="shared" si="15"/>
        <v>0.1875</v>
      </c>
      <c r="J143" s="7">
        <f t="shared" si="12"/>
        <v>0</v>
      </c>
      <c r="K143" s="7">
        <f t="shared" si="16"/>
        <v>0</v>
      </c>
      <c r="L143" s="7">
        <f t="shared" si="17"/>
        <v>0.23</v>
      </c>
    </row>
    <row r="144" spans="2:12" ht="72" x14ac:dyDescent="0.3">
      <c r="B144" s="5">
        <v>2101</v>
      </c>
      <c r="C144" s="5" t="s">
        <v>56</v>
      </c>
      <c r="D144" s="6" t="s">
        <v>169</v>
      </c>
      <c r="E144" s="7">
        <v>1</v>
      </c>
      <c r="F144" s="7">
        <v>1.1299999999999999</v>
      </c>
      <c r="G144" s="7">
        <f t="shared" si="13"/>
        <v>0.84749999999999992</v>
      </c>
      <c r="H144" s="7">
        <f t="shared" si="14"/>
        <v>0.25</v>
      </c>
      <c r="I144" s="7">
        <f t="shared" si="15"/>
        <v>0.1875</v>
      </c>
      <c r="J144" s="7">
        <f t="shared" si="12"/>
        <v>0</v>
      </c>
      <c r="K144" s="7">
        <f t="shared" si="16"/>
        <v>0</v>
      </c>
      <c r="L144" s="7">
        <f t="shared" si="17"/>
        <v>0.23</v>
      </c>
    </row>
    <row r="145" spans="2:12" ht="57.6" x14ac:dyDescent="0.3">
      <c r="B145" s="5">
        <v>2102</v>
      </c>
      <c r="C145" s="5" t="s">
        <v>56</v>
      </c>
      <c r="D145" s="6" t="s">
        <v>170</v>
      </c>
      <c r="E145" s="7">
        <v>1</v>
      </c>
      <c r="F145" s="7">
        <v>0.84</v>
      </c>
      <c r="G145" s="7">
        <f t="shared" si="13"/>
        <v>0.63</v>
      </c>
      <c r="H145" s="7">
        <f t="shared" si="14"/>
        <v>0.25</v>
      </c>
      <c r="I145" s="7">
        <f t="shared" si="15"/>
        <v>0.1875</v>
      </c>
      <c r="J145" s="7">
        <f t="shared" si="12"/>
        <v>0</v>
      </c>
      <c r="K145" s="7">
        <f t="shared" si="16"/>
        <v>0</v>
      </c>
      <c r="L145" s="7">
        <f t="shared" si="17"/>
        <v>0.23</v>
      </c>
    </row>
    <row r="146" spans="2:12" ht="86.4" x14ac:dyDescent="0.3">
      <c r="B146" s="7">
        <v>2103</v>
      </c>
      <c r="C146" s="7" t="s">
        <v>56</v>
      </c>
      <c r="D146" s="8" t="s">
        <v>171</v>
      </c>
      <c r="E146" s="7">
        <v>2</v>
      </c>
      <c r="F146" s="7">
        <v>1.33</v>
      </c>
      <c r="G146" s="7">
        <f t="shared" si="13"/>
        <v>1.1970000000000001</v>
      </c>
      <c r="H146" s="7">
        <f t="shared" si="14"/>
        <v>0.25</v>
      </c>
      <c r="I146" s="7">
        <f t="shared" si="15"/>
        <v>0.22500000000000001</v>
      </c>
      <c r="J146" s="7">
        <f t="shared" si="12"/>
        <v>0</v>
      </c>
      <c r="K146" s="7">
        <f t="shared" si="16"/>
        <v>0</v>
      </c>
      <c r="L146" s="7">
        <f t="shared" si="17"/>
        <v>0.23</v>
      </c>
    </row>
    <row r="147" spans="2:12" ht="72" x14ac:dyDescent="0.3">
      <c r="B147" s="7">
        <v>2104</v>
      </c>
      <c r="C147" s="7" t="s">
        <v>56</v>
      </c>
      <c r="D147" s="8" t="s">
        <v>172</v>
      </c>
      <c r="E147" s="7">
        <v>2</v>
      </c>
      <c r="F147" s="7">
        <v>0.71</v>
      </c>
      <c r="G147" s="7">
        <f t="shared" si="13"/>
        <v>0.63900000000000001</v>
      </c>
      <c r="H147" s="7">
        <f t="shared" si="14"/>
        <v>0.25</v>
      </c>
      <c r="I147" s="7">
        <f t="shared" si="15"/>
        <v>0.22500000000000001</v>
      </c>
      <c r="J147" s="7">
        <f t="shared" si="12"/>
        <v>0</v>
      </c>
      <c r="K147" s="7">
        <f t="shared" si="16"/>
        <v>0</v>
      </c>
      <c r="L147" s="7">
        <f t="shared" si="17"/>
        <v>0.23</v>
      </c>
    </row>
    <row r="148" spans="2:12" ht="28.8" x14ac:dyDescent="0.3">
      <c r="B148" s="7">
        <v>2105</v>
      </c>
      <c r="C148" s="7" t="s">
        <v>56</v>
      </c>
      <c r="D148" s="8" t="s">
        <v>173</v>
      </c>
      <c r="E148" s="7">
        <v>4</v>
      </c>
      <c r="F148" s="7">
        <v>0.61</v>
      </c>
      <c r="G148" s="7">
        <f t="shared" si="13"/>
        <v>1.5859999999999999</v>
      </c>
      <c r="H148" s="7">
        <f t="shared" si="14"/>
        <v>0.25</v>
      </c>
      <c r="I148" s="7">
        <f t="shared" si="15"/>
        <v>0.65</v>
      </c>
      <c r="J148" s="7">
        <f t="shared" si="12"/>
        <v>0</v>
      </c>
      <c r="K148" s="7">
        <f t="shared" si="16"/>
        <v>0</v>
      </c>
      <c r="L148" s="7">
        <f t="shared" si="17"/>
        <v>0.23</v>
      </c>
    </row>
    <row r="149" spans="2:12" ht="72" x14ac:dyDescent="0.3">
      <c r="B149" s="5">
        <v>2106</v>
      </c>
      <c r="C149" s="5" t="s">
        <v>56</v>
      </c>
      <c r="D149" s="6" t="s">
        <v>174</v>
      </c>
      <c r="E149" s="7">
        <v>1</v>
      </c>
      <c r="F149" s="7">
        <v>1.42</v>
      </c>
      <c r="G149" s="7">
        <f t="shared" si="13"/>
        <v>1.0649999999999999</v>
      </c>
      <c r="H149" s="7">
        <f t="shared" si="14"/>
        <v>0.25</v>
      </c>
      <c r="I149" s="7">
        <f t="shared" si="15"/>
        <v>0.1875</v>
      </c>
      <c r="J149" s="7">
        <f t="shared" si="12"/>
        <v>0</v>
      </c>
      <c r="K149" s="7">
        <f t="shared" si="16"/>
        <v>0</v>
      </c>
      <c r="L149" s="7">
        <f t="shared" si="17"/>
        <v>0.23</v>
      </c>
    </row>
    <row r="150" spans="2:12" ht="72" x14ac:dyDescent="0.3">
      <c r="B150" s="5">
        <v>2107</v>
      </c>
      <c r="C150" s="5" t="s">
        <v>56</v>
      </c>
      <c r="D150" s="6" t="s">
        <v>175</v>
      </c>
      <c r="E150" s="7">
        <v>1</v>
      </c>
      <c r="F150" s="7">
        <v>0.59</v>
      </c>
      <c r="G150" s="7">
        <f t="shared" si="13"/>
        <v>0.4425</v>
      </c>
      <c r="H150" s="7">
        <f t="shared" si="14"/>
        <v>0.25</v>
      </c>
      <c r="I150" s="7">
        <f t="shared" si="15"/>
        <v>0.1875</v>
      </c>
      <c r="J150" s="7">
        <f t="shared" si="12"/>
        <v>0</v>
      </c>
      <c r="K150" s="7">
        <f t="shared" si="16"/>
        <v>0</v>
      </c>
      <c r="L150" s="7">
        <f t="shared" si="17"/>
        <v>0.23</v>
      </c>
    </row>
    <row r="151" spans="2:12" ht="57.6" x14ac:dyDescent="0.3">
      <c r="B151" s="5">
        <v>2108</v>
      </c>
      <c r="C151" s="5" t="s">
        <v>56</v>
      </c>
      <c r="D151" s="6" t="s">
        <v>176</v>
      </c>
      <c r="E151" s="7">
        <v>1</v>
      </c>
      <c r="F151" s="7">
        <v>1.6</v>
      </c>
      <c r="G151" s="7">
        <f t="shared" si="13"/>
        <v>1.2000000000000002</v>
      </c>
      <c r="H151" s="7">
        <f t="shared" si="14"/>
        <v>0.25</v>
      </c>
      <c r="I151" s="7">
        <f t="shared" si="15"/>
        <v>0.1875</v>
      </c>
      <c r="J151" s="7">
        <f t="shared" si="12"/>
        <v>0</v>
      </c>
      <c r="K151" s="7">
        <f t="shared" si="16"/>
        <v>0</v>
      </c>
      <c r="L151" s="7">
        <f t="shared" si="17"/>
        <v>0.23</v>
      </c>
    </row>
    <row r="152" spans="2:12" ht="86.4" x14ac:dyDescent="0.3">
      <c r="B152" s="5">
        <v>2109</v>
      </c>
      <c r="C152" s="5" t="s">
        <v>56</v>
      </c>
      <c r="D152" s="6" t="s">
        <v>177</v>
      </c>
      <c r="E152" s="7">
        <v>1</v>
      </c>
      <c r="F152" s="7">
        <v>1.1000000000000001</v>
      </c>
      <c r="G152" s="7">
        <f t="shared" si="13"/>
        <v>0.82500000000000007</v>
      </c>
      <c r="H152" s="7">
        <f t="shared" si="14"/>
        <v>0.25</v>
      </c>
      <c r="I152" s="7">
        <f t="shared" si="15"/>
        <v>0.1875</v>
      </c>
      <c r="J152" s="7">
        <f t="shared" si="12"/>
        <v>0</v>
      </c>
      <c r="K152" s="7">
        <f t="shared" si="16"/>
        <v>0</v>
      </c>
      <c r="L152" s="7">
        <f t="shared" si="17"/>
        <v>0.23</v>
      </c>
    </row>
    <row r="153" spans="2:12" ht="43.2" x14ac:dyDescent="0.3">
      <c r="B153" s="5">
        <v>2110</v>
      </c>
      <c r="C153" s="5" t="s">
        <v>56</v>
      </c>
      <c r="D153" s="6" t="s">
        <v>178</v>
      </c>
      <c r="E153" s="7">
        <v>1</v>
      </c>
      <c r="F153" s="7">
        <v>0.82</v>
      </c>
      <c r="G153" s="7">
        <f t="shared" si="13"/>
        <v>0.61499999999999999</v>
      </c>
      <c r="H153" s="7">
        <f t="shared" si="14"/>
        <v>0.25</v>
      </c>
      <c r="I153" s="7">
        <f t="shared" si="15"/>
        <v>0.1875</v>
      </c>
      <c r="J153" s="7">
        <f t="shared" si="12"/>
        <v>0</v>
      </c>
      <c r="K153" s="7">
        <f t="shared" si="16"/>
        <v>0</v>
      </c>
      <c r="L153" s="7">
        <f t="shared" si="17"/>
        <v>0.23</v>
      </c>
    </row>
    <row r="154" spans="2:12" x14ac:dyDescent="0.3">
      <c r="B154" s="7">
        <v>2111</v>
      </c>
      <c r="C154" s="7" t="s">
        <v>56</v>
      </c>
      <c r="D154" s="8" t="s">
        <v>179</v>
      </c>
      <c r="E154" s="7">
        <v>4</v>
      </c>
      <c r="F154" s="7">
        <v>3.1</v>
      </c>
      <c r="G154" s="7">
        <f t="shared" si="13"/>
        <v>8.06</v>
      </c>
      <c r="H154" s="7">
        <f t="shared" si="14"/>
        <v>0.25</v>
      </c>
      <c r="I154" s="7">
        <f t="shared" si="15"/>
        <v>0.65</v>
      </c>
      <c r="J154" s="7">
        <f t="shared" si="12"/>
        <v>0</v>
      </c>
      <c r="K154" s="7">
        <f t="shared" si="16"/>
        <v>0</v>
      </c>
      <c r="L154" s="7">
        <f t="shared" si="17"/>
        <v>0.23</v>
      </c>
    </row>
    <row r="155" spans="2:12" ht="43.2" x14ac:dyDescent="0.3">
      <c r="B155" s="5">
        <v>2112</v>
      </c>
      <c r="C155" s="5" t="s">
        <v>56</v>
      </c>
      <c r="D155" s="6" t="s">
        <v>180</v>
      </c>
      <c r="E155" s="7">
        <v>1</v>
      </c>
      <c r="F155" s="7">
        <v>1.62</v>
      </c>
      <c r="G155" s="7">
        <f t="shared" si="13"/>
        <v>1.2150000000000001</v>
      </c>
      <c r="H155" s="7">
        <f t="shared" si="14"/>
        <v>0.25</v>
      </c>
      <c r="I155" s="7">
        <f t="shared" si="15"/>
        <v>0.1875</v>
      </c>
      <c r="J155" s="7">
        <f t="shared" si="12"/>
        <v>0</v>
      </c>
      <c r="K155" s="7">
        <f t="shared" si="16"/>
        <v>0</v>
      </c>
      <c r="L155" s="7">
        <f t="shared" si="17"/>
        <v>0.23</v>
      </c>
    </row>
    <row r="156" spans="2:12" ht="57.6" x14ac:dyDescent="0.3">
      <c r="B156" s="5">
        <v>2113</v>
      </c>
      <c r="C156" s="5" t="s">
        <v>56</v>
      </c>
      <c r="D156" s="6" t="s">
        <v>181</v>
      </c>
      <c r="E156" s="7">
        <v>1</v>
      </c>
      <c r="F156" s="7">
        <v>0.93</v>
      </c>
      <c r="G156" s="7">
        <f t="shared" si="13"/>
        <v>0.69750000000000001</v>
      </c>
      <c r="H156" s="7">
        <f t="shared" si="14"/>
        <v>0.25</v>
      </c>
      <c r="I156" s="7">
        <f t="shared" si="15"/>
        <v>0.1875</v>
      </c>
      <c r="J156" s="7">
        <f t="shared" si="12"/>
        <v>0</v>
      </c>
      <c r="K156" s="7">
        <f t="shared" si="16"/>
        <v>0</v>
      </c>
      <c r="L156" s="7">
        <f t="shared" si="17"/>
        <v>0.23</v>
      </c>
    </row>
    <row r="157" spans="2:12" ht="43.2" x14ac:dyDescent="0.3">
      <c r="B157" s="5">
        <v>2114</v>
      </c>
      <c r="C157" s="5" t="s">
        <v>56</v>
      </c>
      <c r="D157" s="6" t="s">
        <v>182</v>
      </c>
      <c r="E157" s="7">
        <v>1</v>
      </c>
      <c r="F157" s="7">
        <v>1.19</v>
      </c>
      <c r="G157" s="7">
        <f t="shared" si="13"/>
        <v>0.89249999999999996</v>
      </c>
      <c r="H157" s="7">
        <f t="shared" si="14"/>
        <v>0.25</v>
      </c>
      <c r="I157" s="7">
        <f t="shared" si="15"/>
        <v>0.1875</v>
      </c>
      <c r="J157" s="7">
        <f t="shared" si="12"/>
        <v>0</v>
      </c>
      <c r="K157" s="7">
        <f t="shared" si="16"/>
        <v>0</v>
      </c>
      <c r="L157" s="7">
        <f t="shared" si="17"/>
        <v>0.23</v>
      </c>
    </row>
    <row r="158" spans="2:12" ht="43.2" x14ac:dyDescent="0.3">
      <c r="B158" s="5">
        <v>2115</v>
      </c>
      <c r="C158" s="5" t="s">
        <v>56</v>
      </c>
      <c r="D158" s="6" t="s">
        <v>183</v>
      </c>
      <c r="E158" s="7">
        <v>1</v>
      </c>
      <c r="F158" s="7">
        <v>2.38</v>
      </c>
      <c r="G158" s="7">
        <f t="shared" si="13"/>
        <v>1.7849999999999999</v>
      </c>
      <c r="H158" s="7">
        <f t="shared" si="14"/>
        <v>0.25</v>
      </c>
      <c r="I158" s="7">
        <f t="shared" si="15"/>
        <v>0.1875</v>
      </c>
      <c r="J158" s="7">
        <f t="shared" si="12"/>
        <v>0</v>
      </c>
      <c r="K158" s="7">
        <f t="shared" si="16"/>
        <v>0</v>
      </c>
      <c r="L158" s="7">
        <f t="shared" si="17"/>
        <v>0.23</v>
      </c>
    </row>
    <row r="159" spans="2:12" ht="100.8" x14ac:dyDescent="0.3">
      <c r="B159" s="5">
        <v>2116</v>
      </c>
      <c r="C159" s="5" t="s">
        <v>56</v>
      </c>
      <c r="D159" s="6" t="s">
        <v>184</v>
      </c>
      <c r="E159" s="7">
        <v>1</v>
      </c>
      <c r="F159" s="7">
        <v>1.31</v>
      </c>
      <c r="G159" s="7">
        <f t="shared" si="13"/>
        <v>0.98250000000000004</v>
      </c>
      <c r="H159" s="7">
        <f t="shared" si="14"/>
        <v>0.25</v>
      </c>
      <c r="I159" s="7">
        <f t="shared" si="15"/>
        <v>0.1875</v>
      </c>
      <c r="J159" s="7">
        <f t="shared" si="12"/>
        <v>0</v>
      </c>
      <c r="K159" s="7">
        <f t="shared" si="16"/>
        <v>0</v>
      </c>
      <c r="L159" s="7">
        <f t="shared" si="17"/>
        <v>0.23</v>
      </c>
    </row>
    <row r="160" spans="2:12" x14ac:dyDescent="0.3">
      <c r="B160" s="5">
        <v>2117</v>
      </c>
      <c r="C160" s="5" t="s">
        <v>56</v>
      </c>
      <c r="D160" s="6" t="s">
        <v>185</v>
      </c>
      <c r="E160" s="7">
        <v>1</v>
      </c>
      <c r="F160" s="7">
        <v>0.6</v>
      </c>
      <c r="G160" s="7">
        <f t="shared" si="13"/>
        <v>0.44999999999999996</v>
      </c>
      <c r="H160" s="7">
        <f t="shared" si="14"/>
        <v>0.25</v>
      </c>
      <c r="I160" s="7">
        <f t="shared" si="15"/>
        <v>0.1875</v>
      </c>
      <c r="J160" s="7">
        <f t="shared" si="12"/>
        <v>0</v>
      </c>
      <c r="K160" s="7">
        <f t="shared" si="16"/>
        <v>0</v>
      </c>
      <c r="L160" s="7">
        <f t="shared" si="17"/>
        <v>0.23</v>
      </c>
    </row>
    <row r="161" spans="2:12" ht="72" x14ac:dyDescent="0.3">
      <c r="B161" s="5">
        <v>2119</v>
      </c>
      <c r="C161" s="5" t="s">
        <v>56</v>
      </c>
      <c r="D161" s="6" t="s">
        <v>186</v>
      </c>
      <c r="E161" s="7">
        <v>1</v>
      </c>
      <c r="F161" s="7">
        <v>0.8</v>
      </c>
      <c r="G161" s="7">
        <f t="shared" si="13"/>
        <v>0.60000000000000009</v>
      </c>
      <c r="H161" s="7">
        <f t="shared" si="14"/>
        <v>0.25</v>
      </c>
      <c r="I161" s="7">
        <f t="shared" si="15"/>
        <v>0.1875</v>
      </c>
      <c r="J161" s="7">
        <f t="shared" ref="J161:J224" si="18">J160</f>
        <v>0</v>
      </c>
      <c r="K161" s="7">
        <f t="shared" si="16"/>
        <v>0</v>
      </c>
      <c r="L161" s="7">
        <f t="shared" si="17"/>
        <v>0.23</v>
      </c>
    </row>
    <row r="162" spans="2:12" ht="43.2" x14ac:dyDescent="0.3">
      <c r="B162" s="5">
        <v>2118</v>
      </c>
      <c r="C162" s="5" t="s">
        <v>56</v>
      </c>
      <c r="D162" s="6" t="s">
        <v>187</v>
      </c>
      <c r="E162" s="7">
        <v>1</v>
      </c>
      <c r="F162" s="7">
        <v>1.06</v>
      </c>
      <c r="G162" s="7">
        <f t="shared" si="13"/>
        <v>0.79500000000000004</v>
      </c>
      <c r="H162" s="7">
        <f t="shared" si="14"/>
        <v>0.25</v>
      </c>
      <c r="I162" s="7">
        <f t="shared" si="15"/>
        <v>0.1875</v>
      </c>
      <c r="J162" s="7">
        <f t="shared" si="18"/>
        <v>0</v>
      </c>
      <c r="K162" s="7">
        <f t="shared" si="16"/>
        <v>0</v>
      </c>
      <c r="L162" s="7">
        <f t="shared" si="17"/>
        <v>0.23</v>
      </c>
    </row>
    <row r="163" spans="2:12" ht="43.2" x14ac:dyDescent="0.3">
      <c r="B163" s="5">
        <v>2120</v>
      </c>
      <c r="C163" s="5" t="s">
        <v>56</v>
      </c>
      <c r="D163" s="6" t="s">
        <v>188</v>
      </c>
      <c r="E163" s="7">
        <v>1</v>
      </c>
      <c r="F163" s="7">
        <v>0.82</v>
      </c>
      <c r="G163" s="7">
        <f t="shared" si="13"/>
        <v>0.61499999999999999</v>
      </c>
      <c r="H163" s="7">
        <f t="shared" si="14"/>
        <v>0.25</v>
      </c>
      <c r="I163" s="7">
        <f t="shared" si="15"/>
        <v>0.1875</v>
      </c>
      <c r="J163" s="7">
        <f t="shared" si="18"/>
        <v>0</v>
      </c>
      <c r="K163" s="7">
        <f t="shared" si="16"/>
        <v>0</v>
      </c>
      <c r="L163" s="7">
        <f t="shared" si="17"/>
        <v>0.23</v>
      </c>
    </row>
    <row r="164" spans="2:12" ht="100.8" x14ac:dyDescent="0.3">
      <c r="B164" s="5">
        <v>2121</v>
      </c>
      <c r="C164" s="5" t="s">
        <v>56</v>
      </c>
      <c r="D164" s="6" t="s">
        <v>189</v>
      </c>
      <c r="E164" s="7">
        <v>1</v>
      </c>
      <c r="F164" s="7">
        <v>0.43</v>
      </c>
      <c r="G164" s="7">
        <f t="shared" si="13"/>
        <v>0.32250000000000001</v>
      </c>
      <c r="H164" s="7">
        <f t="shared" si="14"/>
        <v>0.25</v>
      </c>
      <c r="I164" s="7">
        <f t="shared" si="15"/>
        <v>0.1875</v>
      </c>
      <c r="J164" s="7">
        <f t="shared" si="18"/>
        <v>0</v>
      </c>
      <c r="K164" s="7">
        <f t="shared" si="16"/>
        <v>0</v>
      </c>
      <c r="L164" s="7">
        <f t="shared" si="17"/>
        <v>0.23</v>
      </c>
    </row>
    <row r="165" spans="2:12" ht="100.8" x14ac:dyDescent="0.3">
      <c r="B165" s="5">
        <v>2122</v>
      </c>
      <c r="C165" s="5" t="s">
        <v>56</v>
      </c>
      <c r="D165" s="6" t="s">
        <v>190</v>
      </c>
      <c r="E165" s="7">
        <v>1</v>
      </c>
      <c r="F165" s="7">
        <v>0.62</v>
      </c>
      <c r="G165" s="7">
        <f t="shared" si="13"/>
        <v>0.46499999999999997</v>
      </c>
      <c r="H165" s="7">
        <f t="shared" si="14"/>
        <v>0.25</v>
      </c>
      <c r="I165" s="7">
        <f t="shared" si="15"/>
        <v>0.1875</v>
      </c>
      <c r="J165" s="7">
        <f t="shared" si="18"/>
        <v>0</v>
      </c>
      <c r="K165" s="7">
        <f t="shared" si="16"/>
        <v>0</v>
      </c>
      <c r="L165" s="7">
        <f t="shared" si="17"/>
        <v>0.23</v>
      </c>
    </row>
    <row r="166" spans="2:12" ht="43.2" x14ac:dyDescent="0.3">
      <c r="B166" s="7">
        <v>2123</v>
      </c>
      <c r="C166" s="7" t="s">
        <v>56</v>
      </c>
      <c r="D166" s="8" t="s">
        <v>191</v>
      </c>
      <c r="E166" s="7">
        <v>4</v>
      </c>
      <c r="F166" s="7">
        <v>0.84</v>
      </c>
      <c r="G166" s="7">
        <f t="shared" si="13"/>
        <v>2.1840000000000002</v>
      </c>
      <c r="H166" s="7">
        <f t="shared" si="14"/>
        <v>0.25</v>
      </c>
      <c r="I166" s="7">
        <f t="shared" si="15"/>
        <v>0.65</v>
      </c>
      <c r="J166" s="7">
        <f t="shared" si="18"/>
        <v>0</v>
      </c>
      <c r="K166" s="7">
        <f t="shared" si="16"/>
        <v>0</v>
      </c>
      <c r="L166" s="7">
        <f t="shared" si="17"/>
        <v>0.23</v>
      </c>
    </row>
    <row r="167" spans="2:12" ht="28.8" x14ac:dyDescent="0.3">
      <c r="B167" s="5">
        <v>2124</v>
      </c>
      <c r="C167" s="5" t="s">
        <v>56</v>
      </c>
      <c r="D167" s="6" t="s">
        <v>192</v>
      </c>
      <c r="E167" s="7">
        <v>1</v>
      </c>
      <c r="F167" s="7">
        <v>2.85</v>
      </c>
      <c r="G167" s="7">
        <f t="shared" si="13"/>
        <v>2.1375000000000002</v>
      </c>
      <c r="H167" s="7">
        <f t="shared" si="14"/>
        <v>0.25</v>
      </c>
      <c r="I167" s="7">
        <f t="shared" si="15"/>
        <v>0.1875</v>
      </c>
      <c r="J167" s="7">
        <f t="shared" si="18"/>
        <v>0</v>
      </c>
      <c r="K167" s="7">
        <f t="shared" si="16"/>
        <v>0</v>
      </c>
      <c r="L167" s="7">
        <f t="shared" si="17"/>
        <v>0.23</v>
      </c>
    </row>
    <row r="168" spans="2:12" ht="57.6" x14ac:dyDescent="0.3">
      <c r="B168" s="5">
        <v>2125</v>
      </c>
      <c r="C168" s="5" t="s">
        <v>56</v>
      </c>
      <c r="D168" s="6" t="s">
        <v>193</v>
      </c>
      <c r="E168" s="7">
        <v>1</v>
      </c>
      <c r="F168" s="7">
        <v>3.55</v>
      </c>
      <c r="G168" s="7">
        <f t="shared" si="13"/>
        <v>2.6624999999999996</v>
      </c>
      <c r="H168" s="7">
        <f t="shared" si="14"/>
        <v>0.25</v>
      </c>
      <c r="I168" s="7">
        <f t="shared" si="15"/>
        <v>0.1875</v>
      </c>
      <c r="J168" s="7">
        <f t="shared" si="18"/>
        <v>0</v>
      </c>
      <c r="K168" s="7">
        <f t="shared" si="16"/>
        <v>0</v>
      </c>
      <c r="L168" s="7">
        <f t="shared" si="17"/>
        <v>0.23</v>
      </c>
    </row>
    <row r="169" spans="2:12" ht="28.8" x14ac:dyDescent="0.3">
      <c r="B169" s="5">
        <v>2128</v>
      </c>
      <c r="C169" s="5" t="s">
        <v>56</v>
      </c>
      <c r="D169" s="6" t="s">
        <v>194</v>
      </c>
      <c r="E169" s="7">
        <v>1</v>
      </c>
      <c r="F169" s="7">
        <v>1.81</v>
      </c>
      <c r="G169" s="7">
        <f t="shared" si="13"/>
        <v>1.3574999999999999</v>
      </c>
      <c r="H169" s="7">
        <f t="shared" si="14"/>
        <v>0.25</v>
      </c>
      <c r="I169" s="7">
        <f t="shared" si="15"/>
        <v>0.1875</v>
      </c>
      <c r="J169" s="7">
        <f t="shared" si="18"/>
        <v>0</v>
      </c>
      <c r="K169" s="7">
        <f t="shared" si="16"/>
        <v>0</v>
      </c>
      <c r="L169" s="7">
        <f t="shared" si="17"/>
        <v>0.23</v>
      </c>
    </row>
    <row r="170" spans="2:12" ht="43.2" x14ac:dyDescent="0.3">
      <c r="B170" s="5">
        <v>2127</v>
      </c>
      <c r="C170" s="5" t="s">
        <v>56</v>
      </c>
      <c r="D170" s="6" t="s">
        <v>195</v>
      </c>
      <c r="E170" s="7">
        <v>1</v>
      </c>
      <c r="F170" s="7">
        <v>0.87</v>
      </c>
      <c r="G170" s="7">
        <f t="shared" si="13"/>
        <v>0.65249999999999997</v>
      </c>
      <c r="H170" s="7">
        <f t="shared" si="14"/>
        <v>0.25</v>
      </c>
      <c r="I170" s="7">
        <f t="shared" si="15"/>
        <v>0.1875</v>
      </c>
      <c r="J170" s="7">
        <f t="shared" si="18"/>
        <v>0</v>
      </c>
      <c r="K170" s="7">
        <f t="shared" si="16"/>
        <v>0</v>
      </c>
      <c r="L170" s="7">
        <f t="shared" si="17"/>
        <v>0.23</v>
      </c>
    </row>
    <row r="171" spans="2:12" ht="72" x14ac:dyDescent="0.3">
      <c r="B171" s="5">
        <v>2126</v>
      </c>
      <c r="C171" s="5" t="s">
        <v>56</v>
      </c>
      <c r="D171" s="6" t="s">
        <v>196</v>
      </c>
      <c r="E171" s="7">
        <v>1</v>
      </c>
      <c r="F171" s="7">
        <v>0.52</v>
      </c>
      <c r="G171" s="7">
        <f t="shared" si="13"/>
        <v>0.39</v>
      </c>
      <c r="H171" s="7">
        <f t="shared" si="14"/>
        <v>0.25</v>
      </c>
      <c r="I171" s="7">
        <f t="shared" si="15"/>
        <v>0.1875</v>
      </c>
      <c r="J171" s="7">
        <f t="shared" si="18"/>
        <v>0</v>
      </c>
      <c r="K171" s="7">
        <f t="shared" si="16"/>
        <v>0</v>
      </c>
      <c r="L171" s="7">
        <f t="shared" si="17"/>
        <v>0.23</v>
      </c>
    </row>
    <row r="172" spans="2:12" ht="57.6" x14ac:dyDescent="0.3">
      <c r="B172" s="5">
        <v>2129</v>
      </c>
      <c r="C172" s="5" t="s">
        <v>56</v>
      </c>
      <c r="D172" s="6" t="s">
        <v>197</v>
      </c>
      <c r="E172" s="7">
        <v>1</v>
      </c>
      <c r="F172" s="7">
        <v>0.9</v>
      </c>
      <c r="G172" s="7">
        <f t="shared" si="13"/>
        <v>0.67500000000000004</v>
      </c>
      <c r="H172" s="7">
        <f t="shared" si="14"/>
        <v>0.25</v>
      </c>
      <c r="I172" s="7">
        <f t="shared" si="15"/>
        <v>0.1875</v>
      </c>
      <c r="J172" s="7">
        <f t="shared" si="18"/>
        <v>0</v>
      </c>
      <c r="K172" s="7">
        <f t="shared" si="16"/>
        <v>0</v>
      </c>
      <c r="L172" s="7">
        <f t="shared" si="17"/>
        <v>0.23</v>
      </c>
    </row>
    <row r="173" spans="2:12" ht="86.4" x14ac:dyDescent="0.3">
      <c r="B173" s="7">
        <v>2130</v>
      </c>
      <c r="C173" s="7" t="s">
        <v>56</v>
      </c>
      <c r="D173" s="8" t="s">
        <v>198</v>
      </c>
      <c r="E173" s="7">
        <v>2</v>
      </c>
      <c r="F173" s="7">
        <v>0.66</v>
      </c>
      <c r="G173" s="7">
        <f t="shared" si="13"/>
        <v>0.59400000000000008</v>
      </c>
      <c r="H173" s="7">
        <f t="shared" si="14"/>
        <v>0.25</v>
      </c>
      <c r="I173" s="7">
        <f t="shared" si="15"/>
        <v>0.22500000000000001</v>
      </c>
      <c r="J173" s="7">
        <f t="shared" si="18"/>
        <v>0</v>
      </c>
      <c r="K173" s="7">
        <f t="shared" si="16"/>
        <v>0</v>
      </c>
      <c r="L173" s="7">
        <f t="shared" si="17"/>
        <v>0.23</v>
      </c>
    </row>
    <row r="174" spans="2:12" ht="28.8" x14ac:dyDescent="0.3">
      <c r="B174" s="5">
        <v>2131</v>
      </c>
      <c r="C174" s="5" t="s">
        <v>56</v>
      </c>
      <c r="D174" s="6" t="s">
        <v>199</v>
      </c>
      <c r="E174" s="7">
        <v>1</v>
      </c>
      <c r="F174" s="7">
        <v>0.71</v>
      </c>
      <c r="G174" s="7">
        <f t="shared" si="13"/>
        <v>0.53249999999999997</v>
      </c>
      <c r="H174" s="7">
        <f t="shared" si="14"/>
        <v>0.25</v>
      </c>
      <c r="I174" s="7">
        <f t="shared" si="15"/>
        <v>0.1875</v>
      </c>
      <c r="J174" s="7">
        <f t="shared" si="18"/>
        <v>0</v>
      </c>
      <c r="K174" s="7">
        <f t="shared" si="16"/>
        <v>0</v>
      </c>
      <c r="L174" s="7">
        <f t="shared" si="17"/>
        <v>0.23</v>
      </c>
    </row>
    <row r="175" spans="2:12" ht="57.6" x14ac:dyDescent="0.3">
      <c r="B175" s="5">
        <v>2229</v>
      </c>
      <c r="C175" s="5" t="s">
        <v>56</v>
      </c>
      <c r="D175" s="6" t="s">
        <v>200</v>
      </c>
      <c r="E175" s="7">
        <v>1</v>
      </c>
      <c r="F175" s="7">
        <v>0.69</v>
      </c>
      <c r="G175" s="7">
        <f t="shared" si="13"/>
        <v>0.51749999999999996</v>
      </c>
      <c r="H175" s="7">
        <f t="shared" si="14"/>
        <v>0.25</v>
      </c>
      <c r="I175" s="7">
        <f t="shared" si="15"/>
        <v>0.1875</v>
      </c>
      <c r="J175" s="7">
        <f t="shared" si="18"/>
        <v>0</v>
      </c>
      <c r="K175" s="7">
        <f t="shared" si="16"/>
        <v>0</v>
      </c>
      <c r="L175" s="7">
        <f t="shared" si="17"/>
        <v>0.23</v>
      </c>
    </row>
    <row r="176" spans="2:12" ht="86.4" x14ac:dyDescent="0.3">
      <c r="B176" s="7">
        <v>2132</v>
      </c>
      <c r="C176" s="7" t="s">
        <v>56</v>
      </c>
      <c r="D176" s="8" t="s">
        <v>201</v>
      </c>
      <c r="E176" s="7">
        <v>3</v>
      </c>
      <c r="F176" s="7">
        <v>0.68</v>
      </c>
      <c r="G176" s="7">
        <f t="shared" si="13"/>
        <v>0.85000000000000009</v>
      </c>
      <c r="H176" s="7">
        <f t="shared" si="14"/>
        <v>0.25</v>
      </c>
      <c r="I176" s="7">
        <f t="shared" si="15"/>
        <v>0.3125</v>
      </c>
      <c r="J176" s="7">
        <f t="shared" si="18"/>
        <v>0</v>
      </c>
      <c r="K176" s="7">
        <f t="shared" si="16"/>
        <v>0</v>
      </c>
      <c r="L176" s="7">
        <f t="shared" si="17"/>
        <v>0.23</v>
      </c>
    </row>
    <row r="177" spans="2:12" ht="86.4" x14ac:dyDescent="0.3">
      <c r="B177" s="5">
        <v>2133</v>
      </c>
      <c r="C177" s="5" t="s">
        <v>56</v>
      </c>
      <c r="D177" s="6" t="s">
        <v>202</v>
      </c>
      <c r="E177" s="7">
        <v>1</v>
      </c>
      <c r="F177" s="7">
        <v>11.12</v>
      </c>
      <c r="G177" s="7">
        <f t="shared" si="13"/>
        <v>8.34</v>
      </c>
      <c r="H177" s="7">
        <f t="shared" si="14"/>
        <v>0.25</v>
      </c>
      <c r="I177" s="7">
        <f t="shared" si="15"/>
        <v>0.1875</v>
      </c>
      <c r="J177" s="7">
        <f t="shared" si="18"/>
        <v>0</v>
      </c>
      <c r="K177" s="7">
        <f t="shared" si="16"/>
        <v>0</v>
      </c>
      <c r="L177" s="7">
        <f t="shared" si="17"/>
        <v>0.23</v>
      </c>
    </row>
    <row r="178" spans="2:12" ht="72" x14ac:dyDescent="0.3">
      <c r="B178" s="7">
        <v>2134</v>
      </c>
      <c r="C178" s="7" t="s">
        <v>56</v>
      </c>
      <c r="D178" s="8" t="s">
        <v>203</v>
      </c>
      <c r="E178" s="7">
        <v>4</v>
      </c>
      <c r="F178" s="7">
        <v>2.17</v>
      </c>
      <c r="G178" s="7">
        <f t="shared" si="13"/>
        <v>5.6419999999999995</v>
      </c>
      <c r="H178" s="7">
        <f t="shared" si="14"/>
        <v>0.25</v>
      </c>
      <c r="I178" s="7">
        <f t="shared" si="15"/>
        <v>0.65</v>
      </c>
      <c r="J178" s="7">
        <f t="shared" si="18"/>
        <v>0</v>
      </c>
      <c r="K178" s="7">
        <f t="shared" si="16"/>
        <v>0</v>
      </c>
      <c r="L178" s="7">
        <f t="shared" si="17"/>
        <v>0.23</v>
      </c>
    </row>
    <row r="179" spans="2:12" ht="57.6" x14ac:dyDescent="0.3">
      <c r="B179" s="5">
        <v>2139</v>
      </c>
      <c r="C179" s="5" t="s">
        <v>56</v>
      </c>
      <c r="D179" s="6" t="s">
        <v>204</v>
      </c>
      <c r="E179" s="7">
        <v>1</v>
      </c>
      <c r="F179" s="7">
        <v>1.83</v>
      </c>
      <c r="G179" s="7">
        <f t="shared" si="13"/>
        <v>1.3725000000000001</v>
      </c>
      <c r="H179" s="7">
        <f t="shared" si="14"/>
        <v>0.25</v>
      </c>
      <c r="I179" s="7">
        <f t="shared" si="15"/>
        <v>0.1875</v>
      </c>
      <c r="J179" s="7">
        <f t="shared" si="18"/>
        <v>0</v>
      </c>
      <c r="K179" s="7">
        <f t="shared" si="16"/>
        <v>0</v>
      </c>
      <c r="L179" s="7">
        <f t="shared" si="17"/>
        <v>0.23</v>
      </c>
    </row>
    <row r="180" spans="2:12" ht="72" x14ac:dyDescent="0.3">
      <c r="B180" s="5">
        <v>2136</v>
      </c>
      <c r="C180" s="5" t="s">
        <v>56</v>
      </c>
      <c r="D180" s="6" t="s">
        <v>205</v>
      </c>
      <c r="E180" s="7">
        <v>1</v>
      </c>
      <c r="F180" s="7">
        <v>1.44</v>
      </c>
      <c r="G180" s="7">
        <f t="shared" si="13"/>
        <v>1.08</v>
      </c>
      <c r="H180" s="7">
        <f t="shared" si="14"/>
        <v>0.25</v>
      </c>
      <c r="I180" s="7">
        <f t="shared" si="15"/>
        <v>0.1875</v>
      </c>
      <c r="J180" s="7">
        <f t="shared" si="18"/>
        <v>0</v>
      </c>
      <c r="K180" s="7">
        <f t="shared" si="16"/>
        <v>0</v>
      </c>
      <c r="L180" s="7">
        <f t="shared" si="17"/>
        <v>0.23</v>
      </c>
    </row>
    <row r="181" spans="2:12" ht="43.2" x14ac:dyDescent="0.3">
      <c r="B181" s="5">
        <v>2135</v>
      </c>
      <c r="C181" s="5" t="s">
        <v>56</v>
      </c>
      <c r="D181" s="6" t="s">
        <v>206</v>
      </c>
      <c r="E181" s="7">
        <v>1</v>
      </c>
      <c r="F181" s="7">
        <v>1.66</v>
      </c>
      <c r="G181" s="7">
        <f t="shared" si="13"/>
        <v>1.2449999999999999</v>
      </c>
      <c r="H181" s="7">
        <f t="shared" si="14"/>
        <v>0.25</v>
      </c>
      <c r="I181" s="7">
        <f t="shared" si="15"/>
        <v>0.1875</v>
      </c>
      <c r="J181" s="7">
        <f t="shared" si="18"/>
        <v>0</v>
      </c>
      <c r="K181" s="7">
        <f t="shared" si="16"/>
        <v>0</v>
      </c>
      <c r="L181" s="7">
        <f t="shared" si="17"/>
        <v>0.23</v>
      </c>
    </row>
    <row r="182" spans="2:12" ht="57.6" x14ac:dyDescent="0.3">
      <c r="B182" s="7">
        <v>2137</v>
      </c>
      <c r="C182" s="7" t="s">
        <v>56</v>
      </c>
      <c r="D182" s="8" t="s">
        <v>207</v>
      </c>
      <c r="E182" s="7">
        <v>4</v>
      </c>
      <c r="F182" s="7">
        <v>1.19</v>
      </c>
      <c r="G182" s="7">
        <f t="shared" si="13"/>
        <v>3.0939999999999999</v>
      </c>
      <c r="H182" s="7">
        <f t="shared" si="14"/>
        <v>0.25</v>
      </c>
      <c r="I182" s="7">
        <f t="shared" si="15"/>
        <v>0.65</v>
      </c>
      <c r="J182" s="7">
        <f t="shared" si="18"/>
        <v>0</v>
      </c>
      <c r="K182" s="7">
        <f t="shared" si="16"/>
        <v>0</v>
      </c>
      <c r="L182" s="7">
        <f t="shared" si="17"/>
        <v>0.23</v>
      </c>
    </row>
    <row r="183" spans="2:12" ht="43.2" x14ac:dyDescent="0.3">
      <c r="B183" s="5">
        <v>2138</v>
      </c>
      <c r="C183" s="5" t="s">
        <v>56</v>
      </c>
      <c r="D183" s="6" t="s">
        <v>208</v>
      </c>
      <c r="E183" s="7">
        <v>1</v>
      </c>
      <c r="F183" s="7">
        <v>1.1100000000000001</v>
      </c>
      <c r="G183" s="7">
        <f t="shared" si="13"/>
        <v>0.83250000000000002</v>
      </c>
      <c r="H183" s="7">
        <f t="shared" si="14"/>
        <v>0.25</v>
      </c>
      <c r="I183" s="7">
        <f t="shared" si="15"/>
        <v>0.1875</v>
      </c>
      <c r="J183" s="7">
        <f t="shared" si="18"/>
        <v>0</v>
      </c>
      <c r="K183" s="7">
        <f t="shared" si="16"/>
        <v>0</v>
      </c>
      <c r="L183" s="7">
        <f t="shared" si="17"/>
        <v>0.23</v>
      </c>
    </row>
    <row r="184" spans="2:12" ht="57.6" x14ac:dyDescent="0.3">
      <c r="B184" s="5">
        <v>2140</v>
      </c>
      <c r="C184" s="5" t="s">
        <v>56</v>
      </c>
      <c r="D184" s="6" t="s">
        <v>209</v>
      </c>
      <c r="E184" s="7">
        <v>1</v>
      </c>
      <c r="F184" s="7">
        <v>0.99</v>
      </c>
      <c r="G184" s="7">
        <f t="shared" si="13"/>
        <v>0.74249999999999994</v>
      </c>
      <c r="H184" s="7">
        <f t="shared" si="14"/>
        <v>0.25</v>
      </c>
      <c r="I184" s="7">
        <f t="shared" si="15"/>
        <v>0.1875</v>
      </c>
      <c r="J184" s="7">
        <f t="shared" si="18"/>
        <v>0</v>
      </c>
      <c r="K184" s="7">
        <f t="shared" si="16"/>
        <v>0</v>
      </c>
      <c r="L184" s="7">
        <f t="shared" si="17"/>
        <v>0.23</v>
      </c>
    </row>
    <row r="185" spans="2:12" ht="57.6" x14ac:dyDescent="0.3">
      <c r="B185" s="7">
        <v>2141</v>
      </c>
      <c r="C185" s="7" t="s">
        <v>56</v>
      </c>
      <c r="D185" s="8" t="s">
        <v>210</v>
      </c>
      <c r="E185" s="7">
        <v>3</v>
      </c>
      <c r="F185" s="7">
        <v>2.1800000000000002</v>
      </c>
      <c r="G185" s="7">
        <f t="shared" si="13"/>
        <v>2.7250000000000001</v>
      </c>
      <c r="H185" s="7">
        <f t="shared" si="14"/>
        <v>0.25</v>
      </c>
      <c r="I185" s="7">
        <f t="shared" si="15"/>
        <v>0.3125</v>
      </c>
      <c r="J185" s="7">
        <f t="shared" si="18"/>
        <v>0</v>
      </c>
      <c r="K185" s="7">
        <f t="shared" si="16"/>
        <v>0</v>
      </c>
      <c r="L185" s="7">
        <f t="shared" si="17"/>
        <v>0.23</v>
      </c>
    </row>
    <row r="186" spans="2:12" ht="57.6" x14ac:dyDescent="0.3">
      <c r="B186" s="7">
        <v>2142</v>
      </c>
      <c r="C186" s="7" t="s">
        <v>56</v>
      </c>
      <c r="D186" s="8" t="s">
        <v>211</v>
      </c>
      <c r="E186" s="7">
        <v>4</v>
      </c>
      <c r="F186" s="7">
        <v>2.65</v>
      </c>
      <c r="G186" s="7">
        <f t="shared" si="13"/>
        <v>6.8900000000000006</v>
      </c>
      <c r="H186" s="7">
        <f t="shared" si="14"/>
        <v>0.25</v>
      </c>
      <c r="I186" s="7">
        <f t="shared" si="15"/>
        <v>0.65</v>
      </c>
      <c r="J186" s="7">
        <f t="shared" si="18"/>
        <v>0</v>
      </c>
      <c r="K186" s="7">
        <f t="shared" si="16"/>
        <v>0</v>
      </c>
      <c r="L186" s="7">
        <f t="shared" si="17"/>
        <v>0.23</v>
      </c>
    </row>
    <row r="187" spans="2:12" ht="43.2" x14ac:dyDescent="0.3">
      <c r="B187" s="5">
        <v>2143</v>
      </c>
      <c r="C187" s="5" t="s">
        <v>56</v>
      </c>
      <c r="D187" s="6" t="s">
        <v>212</v>
      </c>
      <c r="E187" s="7">
        <v>1</v>
      </c>
      <c r="F187" s="7">
        <v>0.91</v>
      </c>
      <c r="G187" s="7">
        <f t="shared" si="13"/>
        <v>0.6825</v>
      </c>
      <c r="H187" s="7">
        <f t="shared" si="14"/>
        <v>0.25</v>
      </c>
      <c r="I187" s="7">
        <f t="shared" si="15"/>
        <v>0.1875</v>
      </c>
      <c r="J187" s="7">
        <f t="shared" si="18"/>
        <v>0</v>
      </c>
      <c r="K187" s="7">
        <f t="shared" si="16"/>
        <v>0</v>
      </c>
      <c r="L187" s="7">
        <f t="shared" si="17"/>
        <v>0.23</v>
      </c>
    </row>
    <row r="188" spans="2:12" ht="100.8" x14ac:dyDescent="0.3">
      <c r="B188" s="7">
        <v>2144</v>
      </c>
      <c r="C188" s="7" t="s">
        <v>56</v>
      </c>
      <c r="D188" s="8" t="s">
        <v>213</v>
      </c>
      <c r="E188" s="7">
        <v>4</v>
      </c>
      <c r="F188" s="7">
        <v>1.25</v>
      </c>
      <c r="G188" s="7">
        <f t="shared" si="13"/>
        <v>3.25</v>
      </c>
      <c r="H188" s="7">
        <f t="shared" si="14"/>
        <v>0.25</v>
      </c>
      <c r="I188" s="7">
        <f t="shared" si="15"/>
        <v>0.65</v>
      </c>
      <c r="J188" s="7">
        <f t="shared" si="18"/>
        <v>0</v>
      </c>
      <c r="K188" s="7">
        <f t="shared" si="16"/>
        <v>0</v>
      </c>
      <c r="L188" s="7">
        <f t="shared" si="17"/>
        <v>0.23</v>
      </c>
    </row>
    <row r="189" spans="2:12" ht="57.6" x14ac:dyDescent="0.3">
      <c r="B189" s="7">
        <v>2145</v>
      </c>
      <c r="C189" s="7" t="s">
        <v>56</v>
      </c>
      <c r="D189" s="8" t="s">
        <v>214</v>
      </c>
      <c r="E189" s="7">
        <v>2</v>
      </c>
      <c r="F189" s="7">
        <v>2.1800000000000002</v>
      </c>
      <c r="G189" s="7">
        <f t="shared" si="13"/>
        <v>1.9620000000000002</v>
      </c>
      <c r="H189" s="7">
        <f t="shared" si="14"/>
        <v>0.25</v>
      </c>
      <c r="I189" s="7">
        <f t="shared" si="15"/>
        <v>0.22500000000000001</v>
      </c>
      <c r="J189" s="7">
        <f t="shared" si="18"/>
        <v>0</v>
      </c>
      <c r="K189" s="7">
        <f t="shared" si="16"/>
        <v>0</v>
      </c>
      <c r="L189" s="7">
        <f t="shared" si="17"/>
        <v>0.23</v>
      </c>
    </row>
    <row r="190" spans="2:12" ht="43.2" x14ac:dyDescent="0.3">
      <c r="B190" s="5">
        <v>2146</v>
      </c>
      <c r="C190" s="5" t="s">
        <v>56</v>
      </c>
      <c r="D190" s="6" t="s">
        <v>215</v>
      </c>
      <c r="E190" s="7">
        <v>1</v>
      </c>
      <c r="F190" s="7">
        <v>1.49</v>
      </c>
      <c r="G190" s="7">
        <f t="shared" si="13"/>
        <v>1.1174999999999999</v>
      </c>
      <c r="H190" s="7">
        <f t="shared" si="14"/>
        <v>0.25</v>
      </c>
      <c r="I190" s="7">
        <f t="shared" si="15"/>
        <v>0.1875</v>
      </c>
      <c r="J190" s="7">
        <f t="shared" si="18"/>
        <v>0</v>
      </c>
      <c r="K190" s="7">
        <f t="shared" si="16"/>
        <v>0</v>
      </c>
      <c r="L190" s="7">
        <f t="shared" si="17"/>
        <v>0.23</v>
      </c>
    </row>
    <row r="191" spans="2:12" ht="57.6" x14ac:dyDescent="0.3">
      <c r="B191" s="5">
        <v>2147</v>
      </c>
      <c r="C191" s="5" t="s">
        <v>56</v>
      </c>
      <c r="D191" s="6" t="s">
        <v>216</v>
      </c>
      <c r="E191" s="7">
        <v>1</v>
      </c>
      <c r="F191" s="7">
        <v>0.93</v>
      </c>
      <c r="G191" s="7">
        <f t="shared" si="13"/>
        <v>0.69750000000000001</v>
      </c>
      <c r="H191" s="7">
        <f t="shared" si="14"/>
        <v>0.25</v>
      </c>
      <c r="I191" s="7">
        <f t="shared" si="15"/>
        <v>0.1875</v>
      </c>
      <c r="J191" s="7">
        <f t="shared" si="18"/>
        <v>0</v>
      </c>
      <c r="K191" s="7">
        <f t="shared" si="16"/>
        <v>0</v>
      </c>
      <c r="L191" s="7">
        <f t="shared" si="17"/>
        <v>0.23</v>
      </c>
    </row>
    <row r="192" spans="2:12" ht="409.6" x14ac:dyDescent="0.3">
      <c r="B192" s="7">
        <v>2148</v>
      </c>
      <c r="C192" s="7" t="s">
        <v>56</v>
      </c>
      <c r="D192" s="8" t="s">
        <v>217</v>
      </c>
      <c r="E192" s="7">
        <v>3</v>
      </c>
      <c r="F192" s="7">
        <v>1.94</v>
      </c>
      <c r="G192" s="7">
        <f t="shared" si="13"/>
        <v>2.4249999999999998</v>
      </c>
      <c r="H192" s="7">
        <f t="shared" si="14"/>
        <v>0.25</v>
      </c>
      <c r="I192" s="7">
        <f t="shared" si="15"/>
        <v>0.3125</v>
      </c>
      <c r="J192" s="7">
        <f t="shared" si="18"/>
        <v>0</v>
      </c>
      <c r="K192" s="7">
        <f t="shared" si="16"/>
        <v>0</v>
      </c>
      <c r="L192" s="7">
        <f t="shared" si="17"/>
        <v>0.23</v>
      </c>
    </row>
    <row r="193" spans="2:12" ht="115.2" x14ac:dyDescent="0.3">
      <c r="B193" s="7">
        <v>2149</v>
      </c>
      <c r="C193" s="7" t="s">
        <v>56</v>
      </c>
      <c r="D193" s="8" t="s">
        <v>218</v>
      </c>
      <c r="E193" s="7">
        <v>2</v>
      </c>
      <c r="F193" s="7">
        <v>2.87</v>
      </c>
      <c r="G193" s="7">
        <f t="shared" si="13"/>
        <v>2.5830000000000002</v>
      </c>
      <c r="H193" s="7">
        <f t="shared" si="14"/>
        <v>0.25</v>
      </c>
      <c r="I193" s="7">
        <f t="shared" si="15"/>
        <v>0.22500000000000001</v>
      </c>
      <c r="J193" s="7">
        <f t="shared" si="18"/>
        <v>0</v>
      </c>
      <c r="K193" s="7">
        <f t="shared" si="16"/>
        <v>0</v>
      </c>
      <c r="L193" s="7">
        <f t="shared" si="17"/>
        <v>0.23</v>
      </c>
    </row>
    <row r="194" spans="2:12" ht="115.2" x14ac:dyDescent="0.3">
      <c r="B194" s="7">
        <v>2150</v>
      </c>
      <c r="C194" s="7" t="s">
        <v>56</v>
      </c>
      <c r="D194" s="8" t="s">
        <v>219</v>
      </c>
      <c r="E194" s="7">
        <v>2</v>
      </c>
      <c r="F194" s="7">
        <v>0.8</v>
      </c>
      <c r="G194" s="7">
        <f t="shared" si="13"/>
        <v>0.72</v>
      </c>
      <c r="H194" s="7">
        <f t="shared" si="14"/>
        <v>0.25</v>
      </c>
      <c r="I194" s="7">
        <f t="shared" si="15"/>
        <v>0.22500000000000001</v>
      </c>
      <c r="J194" s="7">
        <f t="shared" si="18"/>
        <v>0</v>
      </c>
      <c r="K194" s="7">
        <f t="shared" si="16"/>
        <v>0</v>
      </c>
      <c r="L194" s="7">
        <f t="shared" si="17"/>
        <v>0.23</v>
      </c>
    </row>
    <row r="195" spans="2:12" ht="172.8" x14ac:dyDescent="0.3">
      <c r="B195" s="5">
        <v>2151</v>
      </c>
      <c r="C195" s="5" t="s">
        <v>56</v>
      </c>
      <c r="D195" s="6" t="s">
        <v>220</v>
      </c>
      <c r="E195" s="7">
        <v>1</v>
      </c>
      <c r="F195" s="7">
        <v>0.36</v>
      </c>
      <c r="G195" s="7">
        <f t="shared" si="13"/>
        <v>0.27</v>
      </c>
      <c r="H195" s="7">
        <f t="shared" si="14"/>
        <v>0.25</v>
      </c>
      <c r="I195" s="7">
        <f t="shared" si="15"/>
        <v>0.1875</v>
      </c>
      <c r="J195" s="7">
        <f t="shared" si="18"/>
        <v>0</v>
      </c>
      <c r="K195" s="7">
        <f t="shared" si="16"/>
        <v>0</v>
      </c>
      <c r="L195" s="7">
        <f t="shared" si="17"/>
        <v>0.23</v>
      </c>
    </row>
    <row r="196" spans="2:12" ht="72" x14ac:dyDescent="0.3">
      <c r="B196" s="5">
        <v>2152</v>
      </c>
      <c r="C196" s="5" t="s">
        <v>56</v>
      </c>
      <c r="D196" s="6" t="s">
        <v>221</v>
      </c>
      <c r="E196" s="7">
        <v>1</v>
      </c>
      <c r="F196" s="7">
        <v>0.59</v>
      </c>
      <c r="G196" s="7">
        <f t="shared" ref="G196:G259" si="19">IF(E196=1,(F196-(F196*0.25)),IF(E196=2,(F196-(F196*0.1)),IF(E196=3,(F196+(F196*0.25)),IF(E196=4,(F196+(F196*1.6)),0))))</f>
        <v>0.4425</v>
      </c>
      <c r="H196" s="7">
        <f t="shared" ref="H196:H259" si="20">IF(C196="III",0.15,IF(C196="IV",0.25,IF(C196="V",0.25,IF(C196="VII",0.25,0))))</f>
        <v>0.25</v>
      </c>
      <c r="I196" s="7">
        <f t="shared" ref="I196:I259" si="21">IF(E196=1,(H196-(H196*0.25)),IF(E196=2,(H196-(H196*0.1)),IF(E196=3,(H196+(H196*0.25)),IF(E196=4,(H196+(H196*1.6)),0))))</f>
        <v>0.1875</v>
      </c>
      <c r="J196" s="7">
        <f t="shared" si="18"/>
        <v>0</v>
      </c>
      <c r="K196" s="7">
        <f t="shared" ref="K196:K259" si="22">IF(E196=1,(J196-(J196*0.25)),IF(E196=2,(J196-(J196*0.1)),IF(E196=3,(J196+(J196*0.25)),IF(E196=4,(J196+(J196*1.6)),0))))</f>
        <v>0</v>
      </c>
      <c r="L196" s="7">
        <f t="shared" ref="L196:L259" si="23">IF(C196="III",0.15,0.23)</f>
        <v>0.23</v>
      </c>
    </row>
    <row r="197" spans="2:12" ht="72" x14ac:dyDescent="0.3">
      <c r="B197" s="5">
        <v>2155</v>
      </c>
      <c r="C197" s="5" t="s">
        <v>56</v>
      </c>
      <c r="D197" s="6" t="s">
        <v>222</v>
      </c>
      <c r="E197" s="7">
        <v>1</v>
      </c>
      <c r="F197" s="7">
        <v>2.6</v>
      </c>
      <c r="G197" s="7">
        <f t="shared" si="19"/>
        <v>1.9500000000000002</v>
      </c>
      <c r="H197" s="7">
        <f t="shared" si="20"/>
        <v>0.25</v>
      </c>
      <c r="I197" s="7">
        <f t="shared" si="21"/>
        <v>0.1875</v>
      </c>
      <c r="J197" s="7">
        <f t="shared" si="18"/>
        <v>0</v>
      </c>
      <c r="K197" s="7">
        <f t="shared" si="22"/>
        <v>0</v>
      </c>
      <c r="L197" s="7">
        <f t="shared" si="23"/>
        <v>0.23</v>
      </c>
    </row>
    <row r="198" spans="2:12" ht="100.8" x14ac:dyDescent="0.3">
      <c r="B198" s="5">
        <v>2153</v>
      </c>
      <c r="C198" s="5" t="s">
        <v>56</v>
      </c>
      <c r="D198" s="6" t="s">
        <v>223</v>
      </c>
      <c r="E198" s="7">
        <v>1</v>
      </c>
      <c r="F198" s="7">
        <v>5.89</v>
      </c>
      <c r="G198" s="7">
        <f t="shared" si="19"/>
        <v>4.4174999999999995</v>
      </c>
      <c r="H198" s="7">
        <f t="shared" si="20"/>
        <v>0.25</v>
      </c>
      <c r="I198" s="7">
        <f t="shared" si="21"/>
        <v>0.1875</v>
      </c>
      <c r="J198" s="7">
        <f t="shared" si="18"/>
        <v>0</v>
      </c>
      <c r="K198" s="7">
        <f t="shared" si="22"/>
        <v>0</v>
      </c>
      <c r="L198" s="7">
        <f t="shared" si="23"/>
        <v>0.23</v>
      </c>
    </row>
    <row r="199" spans="2:12" ht="86.4" x14ac:dyDescent="0.3">
      <c r="B199" s="5">
        <v>2154</v>
      </c>
      <c r="C199" s="5" t="s">
        <v>56</v>
      </c>
      <c r="D199" s="6" t="s">
        <v>224</v>
      </c>
      <c r="E199" s="7">
        <v>1</v>
      </c>
      <c r="F199" s="7">
        <v>2.86</v>
      </c>
      <c r="G199" s="7">
        <f t="shared" si="19"/>
        <v>2.145</v>
      </c>
      <c r="H199" s="7">
        <f t="shared" si="20"/>
        <v>0.25</v>
      </c>
      <c r="I199" s="7">
        <f t="shared" si="21"/>
        <v>0.1875</v>
      </c>
      <c r="J199" s="7">
        <f t="shared" si="18"/>
        <v>0</v>
      </c>
      <c r="K199" s="7">
        <f t="shared" si="22"/>
        <v>0</v>
      </c>
      <c r="L199" s="7">
        <f t="shared" si="23"/>
        <v>0.23</v>
      </c>
    </row>
    <row r="200" spans="2:12" ht="43.2" x14ac:dyDescent="0.3">
      <c r="B200" s="5">
        <v>2156</v>
      </c>
      <c r="C200" s="5" t="s">
        <v>56</v>
      </c>
      <c r="D200" s="6" t="s">
        <v>225</v>
      </c>
      <c r="E200" s="7">
        <v>1</v>
      </c>
      <c r="F200" s="7">
        <v>1.36</v>
      </c>
      <c r="G200" s="7">
        <f t="shared" si="19"/>
        <v>1.02</v>
      </c>
      <c r="H200" s="7">
        <f t="shared" si="20"/>
        <v>0.25</v>
      </c>
      <c r="I200" s="7">
        <f t="shared" si="21"/>
        <v>0.1875</v>
      </c>
      <c r="J200" s="7">
        <f t="shared" si="18"/>
        <v>0</v>
      </c>
      <c r="K200" s="7">
        <f t="shared" si="22"/>
        <v>0</v>
      </c>
      <c r="L200" s="7">
        <f t="shared" si="23"/>
        <v>0.23</v>
      </c>
    </row>
    <row r="201" spans="2:12" ht="115.2" x14ac:dyDescent="0.3">
      <c r="B201" s="7">
        <v>2157</v>
      </c>
      <c r="C201" s="7" t="s">
        <v>56</v>
      </c>
      <c r="D201" s="8" t="s">
        <v>226</v>
      </c>
      <c r="E201" s="7">
        <v>4</v>
      </c>
      <c r="F201" s="7">
        <v>1.88</v>
      </c>
      <c r="G201" s="7">
        <f t="shared" si="19"/>
        <v>4.8879999999999999</v>
      </c>
      <c r="H201" s="7">
        <f t="shared" si="20"/>
        <v>0.25</v>
      </c>
      <c r="I201" s="7">
        <f t="shared" si="21"/>
        <v>0.65</v>
      </c>
      <c r="J201" s="7">
        <f t="shared" si="18"/>
        <v>0</v>
      </c>
      <c r="K201" s="7">
        <f t="shared" si="22"/>
        <v>0</v>
      </c>
      <c r="L201" s="7">
        <f t="shared" si="23"/>
        <v>0.23</v>
      </c>
    </row>
    <row r="202" spans="2:12" ht="28.8" x14ac:dyDescent="0.3">
      <c r="B202" s="5">
        <v>2158</v>
      </c>
      <c r="C202" s="5" t="s">
        <v>56</v>
      </c>
      <c r="D202" s="6" t="s">
        <v>227</v>
      </c>
      <c r="E202" s="7">
        <v>1</v>
      </c>
      <c r="F202" s="7">
        <v>1.18</v>
      </c>
      <c r="G202" s="7">
        <f t="shared" si="19"/>
        <v>0.88500000000000001</v>
      </c>
      <c r="H202" s="7">
        <f t="shared" si="20"/>
        <v>0.25</v>
      </c>
      <c r="I202" s="7">
        <f t="shared" si="21"/>
        <v>0.1875</v>
      </c>
      <c r="J202" s="7">
        <f t="shared" si="18"/>
        <v>0</v>
      </c>
      <c r="K202" s="7">
        <f t="shared" si="22"/>
        <v>0</v>
      </c>
      <c r="L202" s="7">
        <f t="shared" si="23"/>
        <v>0.23</v>
      </c>
    </row>
    <row r="203" spans="2:12" ht="100.8" x14ac:dyDescent="0.3">
      <c r="B203" s="5">
        <v>2159</v>
      </c>
      <c r="C203" s="5" t="s">
        <v>56</v>
      </c>
      <c r="D203" s="6" t="s">
        <v>228</v>
      </c>
      <c r="E203" s="7">
        <v>1</v>
      </c>
      <c r="F203" s="7">
        <v>0.47</v>
      </c>
      <c r="G203" s="7">
        <f t="shared" si="19"/>
        <v>0.35249999999999998</v>
      </c>
      <c r="H203" s="7">
        <f t="shared" si="20"/>
        <v>0.25</v>
      </c>
      <c r="I203" s="7">
        <f t="shared" si="21"/>
        <v>0.1875</v>
      </c>
      <c r="J203" s="7">
        <f t="shared" si="18"/>
        <v>0</v>
      </c>
      <c r="K203" s="7">
        <f t="shared" si="22"/>
        <v>0</v>
      </c>
      <c r="L203" s="7">
        <f t="shared" si="23"/>
        <v>0.23</v>
      </c>
    </row>
    <row r="204" spans="2:12" ht="43.2" x14ac:dyDescent="0.3">
      <c r="B204" s="5">
        <v>2160</v>
      </c>
      <c r="C204" s="5" t="s">
        <v>56</v>
      </c>
      <c r="D204" s="6" t="s">
        <v>229</v>
      </c>
      <c r="E204" s="7">
        <v>1</v>
      </c>
      <c r="F204" s="7">
        <v>1.36</v>
      </c>
      <c r="G204" s="7">
        <f t="shared" si="19"/>
        <v>1.02</v>
      </c>
      <c r="H204" s="7">
        <f t="shared" si="20"/>
        <v>0.25</v>
      </c>
      <c r="I204" s="7">
        <f t="shared" si="21"/>
        <v>0.1875</v>
      </c>
      <c r="J204" s="7">
        <f t="shared" si="18"/>
        <v>0</v>
      </c>
      <c r="K204" s="7">
        <f t="shared" si="22"/>
        <v>0</v>
      </c>
      <c r="L204" s="7">
        <f t="shared" si="23"/>
        <v>0.23</v>
      </c>
    </row>
    <row r="205" spans="2:12" x14ac:dyDescent="0.3">
      <c r="B205" s="5">
        <v>2161</v>
      </c>
      <c r="C205" s="5" t="s">
        <v>56</v>
      </c>
      <c r="D205" s="6" t="s">
        <v>230</v>
      </c>
      <c r="E205" s="7">
        <v>1</v>
      </c>
      <c r="F205" s="7">
        <v>0.88</v>
      </c>
      <c r="G205" s="7">
        <f t="shared" si="19"/>
        <v>0.66</v>
      </c>
      <c r="H205" s="7">
        <f t="shared" si="20"/>
        <v>0.25</v>
      </c>
      <c r="I205" s="7">
        <f t="shared" si="21"/>
        <v>0.1875</v>
      </c>
      <c r="J205" s="7">
        <f t="shared" si="18"/>
        <v>0</v>
      </c>
      <c r="K205" s="7">
        <f t="shared" si="22"/>
        <v>0</v>
      </c>
      <c r="L205" s="7">
        <f t="shared" si="23"/>
        <v>0.23</v>
      </c>
    </row>
    <row r="206" spans="2:12" ht="43.2" x14ac:dyDescent="0.3">
      <c r="B206" s="5">
        <v>2162</v>
      </c>
      <c r="C206" s="5" t="s">
        <v>56</v>
      </c>
      <c r="D206" s="6" t="s">
        <v>231</v>
      </c>
      <c r="E206" s="7">
        <v>1</v>
      </c>
      <c r="F206" s="7">
        <v>1.01</v>
      </c>
      <c r="G206" s="7">
        <f t="shared" si="19"/>
        <v>0.75750000000000006</v>
      </c>
      <c r="H206" s="7">
        <f t="shared" si="20"/>
        <v>0.25</v>
      </c>
      <c r="I206" s="7">
        <f t="shared" si="21"/>
        <v>0.1875</v>
      </c>
      <c r="J206" s="7">
        <f t="shared" si="18"/>
        <v>0</v>
      </c>
      <c r="K206" s="7">
        <f t="shared" si="22"/>
        <v>0</v>
      </c>
      <c r="L206" s="7">
        <f t="shared" si="23"/>
        <v>0.23</v>
      </c>
    </row>
    <row r="207" spans="2:12" ht="144" x14ac:dyDescent="0.3">
      <c r="B207" s="5">
        <v>2163</v>
      </c>
      <c r="C207" s="5" t="s">
        <v>56</v>
      </c>
      <c r="D207" s="6" t="s">
        <v>232</v>
      </c>
      <c r="E207" s="7">
        <v>1</v>
      </c>
      <c r="F207" s="7">
        <v>1.1399999999999999</v>
      </c>
      <c r="G207" s="7">
        <f t="shared" si="19"/>
        <v>0.85499999999999998</v>
      </c>
      <c r="H207" s="7">
        <f t="shared" si="20"/>
        <v>0.25</v>
      </c>
      <c r="I207" s="7">
        <f t="shared" si="21"/>
        <v>0.1875</v>
      </c>
      <c r="J207" s="7">
        <f t="shared" si="18"/>
        <v>0</v>
      </c>
      <c r="K207" s="7">
        <f t="shared" si="22"/>
        <v>0</v>
      </c>
      <c r="L207" s="7">
        <f t="shared" si="23"/>
        <v>0.23</v>
      </c>
    </row>
    <row r="208" spans="2:12" ht="43.2" x14ac:dyDescent="0.3">
      <c r="B208" s="5">
        <v>2164</v>
      </c>
      <c r="C208" s="5" t="s">
        <v>56</v>
      </c>
      <c r="D208" s="6" t="s">
        <v>233</v>
      </c>
      <c r="E208" s="7">
        <v>1</v>
      </c>
      <c r="F208" s="7">
        <v>0.69</v>
      </c>
      <c r="G208" s="7">
        <f t="shared" si="19"/>
        <v>0.51749999999999996</v>
      </c>
      <c r="H208" s="7">
        <f t="shared" si="20"/>
        <v>0.25</v>
      </c>
      <c r="I208" s="7">
        <f t="shared" si="21"/>
        <v>0.1875</v>
      </c>
      <c r="J208" s="7">
        <f t="shared" si="18"/>
        <v>0</v>
      </c>
      <c r="K208" s="7">
        <f t="shared" si="22"/>
        <v>0</v>
      </c>
      <c r="L208" s="7">
        <f t="shared" si="23"/>
        <v>0.23</v>
      </c>
    </row>
    <row r="209" spans="2:12" ht="28.8" x14ac:dyDescent="0.3">
      <c r="B209" s="7">
        <v>2165</v>
      </c>
      <c r="C209" s="7" t="s">
        <v>56</v>
      </c>
      <c r="D209" s="8" t="s">
        <v>234</v>
      </c>
      <c r="E209" s="7">
        <v>4</v>
      </c>
      <c r="F209" s="7">
        <v>1.88</v>
      </c>
      <c r="G209" s="7">
        <f t="shared" si="19"/>
        <v>4.8879999999999999</v>
      </c>
      <c r="H209" s="7">
        <f t="shared" si="20"/>
        <v>0.25</v>
      </c>
      <c r="I209" s="7">
        <f t="shared" si="21"/>
        <v>0.65</v>
      </c>
      <c r="J209" s="7">
        <f t="shared" si="18"/>
        <v>0</v>
      </c>
      <c r="K209" s="7">
        <f t="shared" si="22"/>
        <v>0</v>
      </c>
      <c r="L209" s="7">
        <f t="shared" si="23"/>
        <v>0.23</v>
      </c>
    </row>
    <row r="210" spans="2:12" ht="57.6" x14ac:dyDescent="0.3">
      <c r="B210" s="7">
        <v>2166</v>
      </c>
      <c r="C210" s="7" t="s">
        <v>56</v>
      </c>
      <c r="D210" s="8" t="s">
        <v>235</v>
      </c>
      <c r="E210" s="7">
        <v>4</v>
      </c>
      <c r="F210" s="7">
        <v>2.2999999999999998</v>
      </c>
      <c r="G210" s="7">
        <f t="shared" si="19"/>
        <v>5.9799999999999995</v>
      </c>
      <c r="H210" s="7">
        <f t="shared" si="20"/>
        <v>0.25</v>
      </c>
      <c r="I210" s="7">
        <f t="shared" si="21"/>
        <v>0.65</v>
      </c>
      <c r="J210" s="7">
        <f t="shared" si="18"/>
        <v>0</v>
      </c>
      <c r="K210" s="7">
        <f t="shared" si="22"/>
        <v>0</v>
      </c>
      <c r="L210" s="7">
        <f t="shared" si="23"/>
        <v>0.23</v>
      </c>
    </row>
    <row r="211" spans="2:12" ht="86.4" x14ac:dyDescent="0.3">
      <c r="B211" s="5">
        <v>2167</v>
      </c>
      <c r="C211" s="5" t="s">
        <v>56</v>
      </c>
      <c r="D211" s="6" t="s">
        <v>236</v>
      </c>
      <c r="E211" s="7">
        <v>1</v>
      </c>
      <c r="F211" s="7">
        <v>1.29</v>
      </c>
      <c r="G211" s="7">
        <f t="shared" si="19"/>
        <v>0.96750000000000003</v>
      </c>
      <c r="H211" s="7">
        <f t="shared" si="20"/>
        <v>0.25</v>
      </c>
      <c r="I211" s="7">
        <f t="shared" si="21"/>
        <v>0.1875</v>
      </c>
      <c r="J211" s="7">
        <f t="shared" si="18"/>
        <v>0</v>
      </c>
      <c r="K211" s="7">
        <f t="shared" si="22"/>
        <v>0</v>
      </c>
      <c r="L211" s="7">
        <f t="shared" si="23"/>
        <v>0.23</v>
      </c>
    </row>
    <row r="212" spans="2:12" ht="86.4" x14ac:dyDescent="0.3">
      <c r="B212" s="5">
        <v>2168</v>
      </c>
      <c r="C212" s="5" t="s">
        <v>56</v>
      </c>
      <c r="D212" s="6" t="s">
        <v>237</v>
      </c>
      <c r="E212" s="7">
        <v>1</v>
      </c>
      <c r="F212" s="7">
        <v>0.54</v>
      </c>
      <c r="G212" s="7">
        <f t="shared" si="19"/>
        <v>0.40500000000000003</v>
      </c>
      <c r="H212" s="7">
        <f t="shared" si="20"/>
        <v>0.25</v>
      </c>
      <c r="I212" s="7">
        <f t="shared" si="21"/>
        <v>0.1875</v>
      </c>
      <c r="J212" s="7">
        <f t="shared" si="18"/>
        <v>0</v>
      </c>
      <c r="K212" s="7">
        <f t="shared" si="22"/>
        <v>0</v>
      </c>
      <c r="L212" s="7">
        <f t="shared" si="23"/>
        <v>0.23</v>
      </c>
    </row>
    <row r="213" spans="2:12" ht="129.6" x14ac:dyDescent="0.3">
      <c r="B213" s="5">
        <v>2169</v>
      </c>
      <c r="C213" s="5" t="s">
        <v>56</v>
      </c>
      <c r="D213" s="6" t="s">
        <v>238</v>
      </c>
      <c r="E213" s="7">
        <v>1</v>
      </c>
      <c r="F213" s="7">
        <v>3.07</v>
      </c>
      <c r="G213" s="7">
        <f t="shared" si="19"/>
        <v>2.3024999999999998</v>
      </c>
      <c r="H213" s="7">
        <f t="shared" si="20"/>
        <v>0.25</v>
      </c>
      <c r="I213" s="7">
        <f t="shared" si="21"/>
        <v>0.1875</v>
      </c>
      <c r="J213" s="7">
        <f t="shared" si="18"/>
        <v>0</v>
      </c>
      <c r="K213" s="7">
        <f t="shared" si="22"/>
        <v>0</v>
      </c>
      <c r="L213" s="7">
        <f t="shared" si="23"/>
        <v>0.23</v>
      </c>
    </row>
    <row r="214" spans="2:12" ht="57.6" x14ac:dyDescent="0.3">
      <c r="B214" s="5">
        <v>2170</v>
      </c>
      <c r="C214" s="5" t="s">
        <v>56</v>
      </c>
      <c r="D214" s="6" t="s">
        <v>239</v>
      </c>
      <c r="E214" s="7">
        <v>1</v>
      </c>
      <c r="F214" s="7">
        <v>1.01</v>
      </c>
      <c r="G214" s="7">
        <f t="shared" si="19"/>
        <v>0.75750000000000006</v>
      </c>
      <c r="H214" s="7">
        <f t="shared" si="20"/>
        <v>0.25</v>
      </c>
      <c r="I214" s="7">
        <f t="shared" si="21"/>
        <v>0.1875</v>
      </c>
      <c r="J214" s="7">
        <f t="shared" si="18"/>
        <v>0</v>
      </c>
      <c r="K214" s="7">
        <f t="shared" si="22"/>
        <v>0</v>
      </c>
      <c r="L214" s="7">
        <f t="shared" si="23"/>
        <v>0.23</v>
      </c>
    </row>
    <row r="215" spans="2:12" ht="43.2" x14ac:dyDescent="0.3">
      <c r="B215" s="7">
        <v>2171</v>
      </c>
      <c r="C215" s="7" t="s">
        <v>56</v>
      </c>
      <c r="D215" s="8" t="s">
        <v>240</v>
      </c>
      <c r="E215" s="7">
        <v>4</v>
      </c>
      <c r="F215" s="7">
        <v>0.95</v>
      </c>
      <c r="G215" s="7">
        <f t="shared" si="19"/>
        <v>2.4699999999999998</v>
      </c>
      <c r="H215" s="7">
        <f t="shared" si="20"/>
        <v>0.25</v>
      </c>
      <c r="I215" s="7">
        <f t="shared" si="21"/>
        <v>0.65</v>
      </c>
      <c r="J215" s="7">
        <f t="shared" si="18"/>
        <v>0</v>
      </c>
      <c r="K215" s="7">
        <f t="shared" si="22"/>
        <v>0</v>
      </c>
      <c r="L215" s="7">
        <f t="shared" si="23"/>
        <v>0.23</v>
      </c>
    </row>
    <row r="216" spans="2:12" ht="86.4" x14ac:dyDescent="0.3">
      <c r="B216" s="5">
        <v>2230</v>
      </c>
      <c r="C216" s="5" t="s">
        <v>56</v>
      </c>
      <c r="D216" s="6" t="s">
        <v>241</v>
      </c>
      <c r="E216" s="7">
        <v>1</v>
      </c>
      <c r="F216" s="7">
        <v>0.49</v>
      </c>
      <c r="G216" s="7">
        <f t="shared" si="19"/>
        <v>0.36749999999999999</v>
      </c>
      <c r="H216" s="7">
        <f t="shared" si="20"/>
        <v>0.25</v>
      </c>
      <c r="I216" s="7">
        <f t="shared" si="21"/>
        <v>0.1875</v>
      </c>
      <c r="J216" s="7">
        <f t="shared" si="18"/>
        <v>0</v>
      </c>
      <c r="K216" s="7">
        <f t="shared" si="22"/>
        <v>0</v>
      </c>
      <c r="L216" s="7">
        <f t="shared" si="23"/>
        <v>0.23</v>
      </c>
    </row>
    <row r="217" spans="2:12" ht="43.2" x14ac:dyDescent="0.3">
      <c r="B217" s="5">
        <v>2172</v>
      </c>
      <c r="C217" s="5" t="s">
        <v>56</v>
      </c>
      <c r="D217" s="6" t="s">
        <v>242</v>
      </c>
      <c r="E217" s="7">
        <v>1</v>
      </c>
      <c r="F217" s="7">
        <v>0.93</v>
      </c>
      <c r="G217" s="7">
        <f t="shared" si="19"/>
        <v>0.69750000000000001</v>
      </c>
      <c r="H217" s="7">
        <f t="shared" si="20"/>
        <v>0.25</v>
      </c>
      <c r="I217" s="7">
        <f t="shared" si="21"/>
        <v>0.1875</v>
      </c>
      <c r="J217" s="7">
        <f t="shared" si="18"/>
        <v>0</v>
      </c>
      <c r="K217" s="7">
        <f t="shared" si="22"/>
        <v>0</v>
      </c>
      <c r="L217" s="7">
        <f t="shared" si="23"/>
        <v>0.23</v>
      </c>
    </row>
    <row r="218" spans="2:12" ht="43.2" x14ac:dyDescent="0.3">
      <c r="B218" s="7">
        <v>2173</v>
      </c>
      <c r="C218" s="7" t="s">
        <v>56</v>
      </c>
      <c r="D218" s="8" t="s">
        <v>243</v>
      </c>
      <c r="E218" s="7">
        <v>4</v>
      </c>
      <c r="F218" s="7">
        <v>1.0900000000000001</v>
      </c>
      <c r="G218" s="7">
        <f t="shared" si="19"/>
        <v>2.8340000000000005</v>
      </c>
      <c r="H218" s="7">
        <f t="shared" si="20"/>
        <v>0.25</v>
      </c>
      <c r="I218" s="7">
        <f t="shared" si="21"/>
        <v>0.65</v>
      </c>
      <c r="J218" s="7">
        <f t="shared" si="18"/>
        <v>0</v>
      </c>
      <c r="K218" s="7">
        <f t="shared" si="22"/>
        <v>0</v>
      </c>
      <c r="L218" s="7">
        <f t="shared" si="23"/>
        <v>0.23</v>
      </c>
    </row>
    <row r="219" spans="2:12" ht="43.2" x14ac:dyDescent="0.3">
      <c r="B219" s="5">
        <v>2174</v>
      </c>
      <c r="C219" s="5" t="s">
        <v>56</v>
      </c>
      <c r="D219" s="6" t="s">
        <v>244</v>
      </c>
      <c r="E219" s="7">
        <v>1</v>
      </c>
      <c r="F219" s="7">
        <v>1.02</v>
      </c>
      <c r="G219" s="7">
        <f t="shared" si="19"/>
        <v>0.76500000000000001</v>
      </c>
      <c r="H219" s="7">
        <f t="shared" si="20"/>
        <v>0.25</v>
      </c>
      <c r="I219" s="7">
        <f t="shared" si="21"/>
        <v>0.1875</v>
      </c>
      <c r="J219" s="7">
        <f t="shared" si="18"/>
        <v>0</v>
      </c>
      <c r="K219" s="7">
        <f t="shared" si="22"/>
        <v>0</v>
      </c>
      <c r="L219" s="7">
        <f t="shared" si="23"/>
        <v>0.23</v>
      </c>
    </row>
    <row r="220" spans="2:12" ht="57.6" x14ac:dyDescent="0.3">
      <c r="B220" s="5">
        <v>2175</v>
      </c>
      <c r="C220" s="5" t="s">
        <v>56</v>
      </c>
      <c r="D220" s="6" t="s">
        <v>245</v>
      </c>
      <c r="E220" s="7">
        <v>1</v>
      </c>
      <c r="F220" s="7">
        <v>1.42</v>
      </c>
      <c r="G220" s="7">
        <f t="shared" si="19"/>
        <v>1.0649999999999999</v>
      </c>
      <c r="H220" s="7">
        <f t="shared" si="20"/>
        <v>0.25</v>
      </c>
      <c r="I220" s="7">
        <f t="shared" si="21"/>
        <v>0.1875</v>
      </c>
      <c r="J220" s="7">
        <f t="shared" si="18"/>
        <v>0</v>
      </c>
      <c r="K220" s="7">
        <f t="shared" si="22"/>
        <v>0</v>
      </c>
      <c r="L220" s="7">
        <f t="shared" si="23"/>
        <v>0.23</v>
      </c>
    </row>
    <row r="221" spans="2:12" ht="57.6" x14ac:dyDescent="0.3">
      <c r="B221" s="5">
        <v>2176</v>
      </c>
      <c r="C221" s="5" t="s">
        <v>56</v>
      </c>
      <c r="D221" s="6" t="s">
        <v>246</v>
      </c>
      <c r="E221" s="7">
        <v>1</v>
      </c>
      <c r="F221" s="7">
        <v>0.69</v>
      </c>
      <c r="G221" s="7">
        <f t="shared" si="19"/>
        <v>0.51749999999999996</v>
      </c>
      <c r="H221" s="7">
        <f t="shared" si="20"/>
        <v>0.25</v>
      </c>
      <c r="I221" s="7">
        <f t="shared" si="21"/>
        <v>0.1875</v>
      </c>
      <c r="J221" s="7">
        <f t="shared" si="18"/>
        <v>0</v>
      </c>
      <c r="K221" s="7">
        <f t="shared" si="22"/>
        <v>0</v>
      </c>
      <c r="L221" s="7">
        <f t="shared" si="23"/>
        <v>0.23</v>
      </c>
    </row>
    <row r="222" spans="2:12" ht="28.8" x14ac:dyDescent="0.3">
      <c r="B222" s="5">
        <v>2177</v>
      </c>
      <c r="C222" s="5" t="s">
        <v>56</v>
      </c>
      <c r="D222" s="6" t="s">
        <v>247</v>
      </c>
      <c r="E222" s="7">
        <v>1</v>
      </c>
      <c r="F222" s="7">
        <v>0.71</v>
      </c>
      <c r="G222" s="7">
        <f t="shared" si="19"/>
        <v>0.53249999999999997</v>
      </c>
      <c r="H222" s="7">
        <f t="shared" si="20"/>
        <v>0.25</v>
      </c>
      <c r="I222" s="7">
        <f t="shared" si="21"/>
        <v>0.1875</v>
      </c>
      <c r="J222" s="7">
        <f t="shared" si="18"/>
        <v>0</v>
      </c>
      <c r="K222" s="7">
        <f t="shared" si="22"/>
        <v>0</v>
      </c>
      <c r="L222" s="7">
        <f t="shared" si="23"/>
        <v>0.23</v>
      </c>
    </row>
    <row r="223" spans="2:12" ht="28.8" x14ac:dyDescent="0.3">
      <c r="B223" s="5">
        <v>2178</v>
      </c>
      <c r="C223" s="5" t="s">
        <v>56</v>
      </c>
      <c r="D223" s="6" t="s">
        <v>248</v>
      </c>
      <c r="E223" s="7">
        <v>1</v>
      </c>
      <c r="F223" s="7">
        <v>0.27</v>
      </c>
      <c r="G223" s="7">
        <f t="shared" si="19"/>
        <v>0.20250000000000001</v>
      </c>
      <c r="H223" s="7">
        <f t="shared" si="20"/>
        <v>0.25</v>
      </c>
      <c r="I223" s="7">
        <f t="shared" si="21"/>
        <v>0.1875</v>
      </c>
      <c r="J223" s="7">
        <f t="shared" si="18"/>
        <v>0</v>
      </c>
      <c r="K223" s="7">
        <f t="shared" si="22"/>
        <v>0</v>
      </c>
      <c r="L223" s="7">
        <f t="shared" si="23"/>
        <v>0.23</v>
      </c>
    </row>
    <row r="224" spans="2:12" ht="28.8" x14ac:dyDescent="0.3">
      <c r="B224" s="5">
        <v>2180</v>
      </c>
      <c r="C224" s="5" t="s">
        <v>56</v>
      </c>
      <c r="D224" s="6" t="s">
        <v>249</v>
      </c>
      <c r="E224" s="7">
        <v>1</v>
      </c>
      <c r="F224" s="7">
        <v>0.56999999999999995</v>
      </c>
      <c r="G224" s="7">
        <f t="shared" si="19"/>
        <v>0.42749999999999999</v>
      </c>
      <c r="H224" s="7">
        <f t="shared" si="20"/>
        <v>0.25</v>
      </c>
      <c r="I224" s="7">
        <f t="shared" si="21"/>
        <v>0.1875</v>
      </c>
      <c r="J224" s="7">
        <f t="shared" si="18"/>
        <v>0</v>
      </c>
      <c r="K224" s="7">
        <f t="shared" si="22"/>
        <v>0</v>
      </c>
      <c r="L224" s="7">
        <f t="shared" si="23"/>
        <v>0.23</v>
      </c>
    </row>
    <row r="225" spans="2:12" ht="57.6" x14ac:dyDescent="0.3">
      <c r="B225" s="5">
        <v>2181</v>
      </c>
      <c r="C225" s="5" t="s">
        <v>56</v>
      </c>
      <c r="D225" s="6" t="s">
        <v>250</v>
      </c>
      <c r="E225" s="7">
        <v>1</v>
      </c>
      <c r="F225" s="7">
        <v>3.07</v>
      </c>
      <c r="G225" s="7">
        <f t="shared" si="19"/>
        <v>2.3024999999999998</v>
      </c>
      <c r="H225" s="7">
        <f t="shared" si="20"/>
        <v>0.25</v>
      </c>
      <c r="I225" s="7">
        <f t="shared" si="21"/>
        <v>0.1875</v>
      </c>
      <c r="J225" s="7">
        <f t="shared" ref="J225:J292" si="24">J224</f>
        <v>0</v>
      </c>
      <c r="K225" s="7">
        <f t="shared" si="22"/>
        <v>0</v>
      </c>
      <c r="L225" s="7">
        <f t="shared" si="23"/>
        <v>0.23</v>
      </c>
    </row>
    <row r="226" spans="2:12" x14ac:dyDescent="0.3">
      <c r="B226" s="7">
        <v>2183</v>
      </c>
      <c r="C226" s="7" t="s">
        <v>56</v>
      </c>
      <c r="D226" s="8" t="s">
        <v>251</v>
      </c>
      <c r="E226" s="7">
        <v>4</v>
      </c>
      <c r="F226" s="7">
        <v>0.53</v>
      </c>
      <c r="G226" s="7">
        <f t="shared" si="19"/>
        <v>1.3780000000000001</v>
      </c>
      <c r="H226" s="7">
        <f t="shared" si="20"/>
        <v>0.25</v>
      </c>
      <c r="I226" s="7">
        <f t="shared" si="21"/>
        <v>0.65</v>
      </c>
      <c r="J226" s="7">
        <f t="shared" si="24"/>
        <v>0</v>
      </c>
      <c r="K226" s="7">
        <f t="shared" si="22"/>
        <v>0</v>
      </c>
      <c r="L226" s="7">
        <f t="shared" si="23"/>
        <v>0.23</v>
      </c>
    </row>
    <row r="227" spans="2:12" ht="28.8" x14ac:dyDescent="0.3">
      <c r="B227" s="5">
        <v>2184</v>
      </c>
      <c r="C227" s="5" t="s">
        <v>56</v>
      </c>
      <c r="D227" s="6" t="s">
        <v>252</v>
      </c>
      <c r="E227" s="7">
        <v>1</v>
      </c>
      <c r="F227" s="7">
        <v>0.92</v>
      </c>
      <c r="G227" s="7">
        <f t="shared" si="19"/>
        <v>0.69000000000000006</v>
      </c>
      <c r="H227" s="7">
        <f t="shared" si="20"/>
        <v>0.25</v>
      </c>
      <c r="I227" s="7">
        <f t="shared" si="21"/>
        <v>0.1875</v>
      </c>
      <c r="J227" s="7">
        <f t="shared" si="24"/>
        <v>0</v>
      </c>
      <c r="K227" s="7">
        <f t="shared" si="22"/>
        <v>0</v>
      </c>
      <c r="L227" s="7">
        <f t="shared" si="23"/>
        <v>0.23</v>
      </c>
    </row>
    <row r="228" spans="2:12" ht="72" x14ac:dyDescent="0.3">
      <c r="B228" s="5">
        <v>2185</v>
      </c>
      <c r="C228" s="5" t="s">
        <v>56</v>
      </c>
      <c r="D228" s="6" t="s">
        <v>253</v>
      </c>
      <c r="E228" s="7">
        <v>1</v>
      </c>
      <c r="F228" s="7">
        <v>2.31</v>
      </c>
      <c r="G228" s="7">
        <f t="shared" si="19"/>
        <v>1.7324999999999999</v>
      </c>
      <c r="H228" s="7">
        <f t="shared" si="20"/>
        <v>0.25</v>
      </c>
      <c r="I228" s="7">
        <f t="shared" si="21"/>
        <v>0.1875</v>
      </c>
      <c r="J228" s="7">
        <f t="shared" si="24"/>
        <v>0</v>
      </c>
      <c r="K228" s="7">
        <f t="shared" si="22"/>
        <v>0</v>
      </c>
      <c r="L228" s="7">
        <f t="shared" si="23"/>
        <v>0.23</v>
      </c>
    </row>
    <row r="229" spans="2:12" ht="57.6" x14ac:dyDescent="0.3">
      <c r="B229" s="5">
        <v>2186</v>
      </c>
      <c r="C229" s="5" t="s">
        <v>56</v>
      </c>
      <c r="D229" s="6" t="s">
        <v>254</v>
      </c>
      <c r="E229" s="7">
        <v>1</v>
      </c>
      <c r="F229" s="7">
        <v>0.84</v>
      </c>
      <c r="G229" s="7">
        <f t="shared" si="19"/>
        <v>0.63</v>
      </c>
      <c r="H229" s="7">
        <f t="shared" si="20"/>
        <v>0.25</v>
      </c>
      <c r="I229" s="7">
        <f t="shared" si="21"/>
        <v>0.1875</v>
      </c>
      <c r="J229" s="7">
        <f t="shared" si="24"/>
        <v>0</v>
      </c>
      <c r="K229" s="7">
        <f t="shared" si="22"/>
        <v>0</v>
      </c>
      <c r="L229" s="7">
        <f t="shared" si="23"/>
        <v>0.23</v>
      </c>
    </row>
    <row r="230" spans="2:12" ht="28.8" x14ac:dyDescent="0.3">
      <c r="B230" s="7">
        <v>2187</v>
      </c>
      <c r="C230" s="7" t="s">
        <v>56</v>
      </c>
      <c r="D230" s="8" t="s">
        <v>255</v>
      </c>
      <c r="E230" s="7">
        <v>4</v>
      </c>
      <c r="F230" s="7">
        <v>1.07</v>
      </c>
      <c r="G230" s="7">
        <f t="shared" si="19"/>
        <v>2.782</v>
      </c>
      <c r="H230" s="7">
        <f t="shared" si="20"/>
        <v>0.25</v>
      </c>
      <c r="I230" s="7">
        <f t="shared" si="21"/>
        <v>0.65</v>
      </c>
      <c r="J230" s="7">
        <f t="shared" si="24"/>
        <v>0</v>
      </c>
      <c r="K230" s="7">
        <f t="shared" si="22"/>
        <v>0</v>
      </c>
      <c r="L230" s="7">
        <f t="shared" si="23"/>
        <v>0.23</v>
      </c>
    </row>
    <row r="231" spans="2:12" ht="57.6" x14ac:dyDescent="0.3">
      <c r="B231" s="5">
        <v>2188</v>
      </c>
      <c r="C231" s="5" t="s">
        <v>56</v>
      </c>
      <c r="D231" s="6" t="s">
        <v>256</v>
      </c>
      <c r="E231" s="7">
        <v>1</v>
      </c>
      <c r="F231" s="7">
        <v>1.64</v>
      </c>
      <c r="G231" s="7">
        <f t="shared" si="19"/>
        <v>1.23</v>
      </c>
      <c r="H231" s="7">
        <f t="shared" si="20"/>
        <v>0.25</v>
      </c>
      <c r="I231" s="7">
        <f t="shared" si="21"/>
        <v>0.1875</v>
      </c>
      <c r="J231" s="7">
        <f t="shared" si="24"/>
        <v>0</v>
      </c>
      <c r="K231" s="7">
        <f t="shared" si="22"/>
        <v>0</v>
      </c>
      <c r="L231" s="7">
        <f t="shared" si="23"/>
        <v>0.23</v>
      </c>
    </row>
    <row r="232" spans="2:12" ht="57.6" x14ac:dyDescent="0.3">
      <c r="B232" s="7">
        <v>2189</v>
      </c>
      <c r="C232" s="7" t="s">
        <v>56</v>
      </c>
      <c r="D232" s="8" t="s">
        <v>257</v>
      </c>
      <c r="E232" s="7">
        <v>3</v>
      </c>
      <c r="F232" s="7">
        <v>1.1599999999999999</v>
      </c>
      <c r="G232" s="7">
        <f t="shared" si="19"/>
        <v>1.45</v>
      </c>
      <c r="H232" s="7">
        <f t="shared" si="20"/>
        <v>0.25</v>
      </c>
      <c r="I232" s="7">
        <f t="shared" si="21"/>
        <v>0.3125</v>
      </c>
      <c r="J232" s="7">
        <f t="shared" si="24"/>
        <v>0</v>
      </c>
      <c r="K232" s="7">
        <f t="shared" si="22"/>
        <v>0</v>
      </c>
      <c r="L232" s="7">
        <f t="shared" si="23"/>
        <v>0.23</v>
      </c>
    </row>
    <row r="233" spans="2:12" ht="57.6" x14ac:dyDescent="0.3">
      <c r="B233" s="5">
        <v>2211</v>
      </c>
      <c r="C233" s="5" t="s">
        <v>56</v>
      </c>
      <c r="D233" s="6" t="s">
        <v>258</v>
      </c>
      <c r="E233" s="7">
        <v>1</v>
      </c>
      <c r="F233" s="7">
        <v>1.62</v>
      </c>
      <c r="G233" s="7">
        <f t="shared" si="19"/>
        <v>1.2150000000000001</v>
      </c>
      <c r="H233" s="7">
        <f t="shared" si="20"/>
        <v>0.25</v>
      </c>
      <c r="I233" s="7">
        <f t="shared" si="21"/>
        <v>0.1875</v>
      </c>
      <c r="J233" s="7">
        <f t="shared" si="24"/>
        <v>0</v>
      </c>
      <c r="K233" s="7">
        <f t="shared" si="22"/>
        <v>0</v>
      </c>
      <c r="L233" s="7">
        <f t="shared" si="23"/>
        <v>0.23</v>
      </c>
    </row>
    <row r="234" spans="2:12" ht="43.2" x14ac:dyDescent="0.3">
      <c r="B234" s="5">
        <v>2190</v>
      </c>
      <c r="C234" s="5" t="s">
        <v>56</v>
      </c>
      <c r="D234" s="6" t="s">
        <v>259</v>
      </c>
      <c r="E234" s="7">
        <v>1</v>
      </c>
      <c r="F234" s="7">
        <v>0.76</v>
      </c>
      <c r="G234" s="7">
        <f t="shared" si="19"/>
        <v>0.57000000000000006</v>
      </c>
      <c r="H234" s="7">
        <f t="shared" si="20"/>
        <v>0.25</v>
      </c>
      <c r="I234" s="7">
        <f t="shared" si="21"/>
        <v>0.1875</v>
      </c>
      <c r="J234" s="7">
        <f t="shared" si="24"/>
        <v>0</v>
      </c>
      <c r="K234" s="7">
        <f t="shared" si="22"/>
        <v>0</v>
      </c>
      <c r="L234" s="7">
        <f t="shared" si="23"/>
        <v>0.23</v>
      </c>
    </row>
    <row r="235" spans="2:12" ht="129.6" x14ac:dyDescent="0.3">
      <c r="B235" s="7">
        <v>2191</v>
      </c>
      <c r="C235" s="7" t="s">
        <v>56</v>
      </c>
      <c r="D235" s="8" t="s">
        <v>260</v>
      </c>
      <c r="E235" s="7">
        <v>3</v>
      </c>
      <c r="F235" s="7">
        <v>0.78</v>
      </c>
      <c r="G235" s="7">
        <f t="shared" si="19"/>
        <v>0.97500000000000009</v>
      </c>
      <c r="H235" s="7">
        <f t="shared" si="20"/>
        <v>0.25</v>
      </c>
      <c r="I235" s="7">
        <f t="shared" si="21"/>
        <v>0.3125</v>
      </c>
      <c r="J235" s="7">
        <f t="shared" si="24"/>
        <v>0</v>
      </c>
      <c r="K235" s="7">
        <f t="shared" si="22"/>
        <v>0</v>
      </c>
      <c r="L235" s="7">
        <f t="shared" si="23"/>
        <v>0.23</v>
      </c>
    </row>
    <row r="236" spans="2:12" ht="72" x14ac:dyDescent="0.3">
      <c r="B236" s="5">
        <v>2192</v>
      </c>
      <c r="C236" s="5" t="s">
        <v>56</v>
      </c>
      <c r="D236" s="6" t="s">
        <v>261</v>
      </c>
      <c r="E236" s="7">
        <v>1</v>
      </c>
      <c r="F236" s="7">
        <v>0.83</v>
      </c>
      <c r="G236" s="7">
        <f t="shared" si="19"/>
        <v>0.62249999999999994</v>
      </c>
      <c r="H236" s="7">
        <f t="shared" si="20"/>
        <v>0.25</v>
      </c>
      <c r="I236" s="7">
        <f t="shared" si="21"/>
        <v>0.1875</v>
      </c>
      <c r="J236" s="7">
        <f t="shared" si="24"/>
        <v>0</v>
      </c>
      <c r="K236" s="7">
        <f t="shared" si="22"/>
        <v>0</v>
      </c>
      <c r="L236" s="7">
        <f t="shared" si="23"/>
        <v>0.23</v>
      </c>
    </row>
    <row r="237" spans="2:12" ht="57.6" x14ac:dyDescent="0.3">
      <c r="B237" s="7">
        <v>2193</v>
      </c>
      <c r="C237" s="7" t="s">
        <v>56</v>
      </c>
      <c r="D237" s="8" t="s">
        <v>262</v>
      </c>
      <c r="E237" s="7">
        <v>2</v>
      </c>
      <c r="F237" s="7">
        <v>1.1499999999999999</v>
      </c>
      <c r="G237" s="7">
        <f t="shared" si="19"/>
        <v>1.0349999999999999</v>
      </c>
      <c r="H237" s="7">
        <f t="shared" si="20"/>
        <v>0.25</v>
      </c>
      <c r="I237" s="7">
        <f t="shared" si="21"/>
        <v>0.22500000000000001</v>
      </c>
      <c r="J237" s="7">
        <f t="shared" si="24"/>
        <v>0</v>
      </c>
      <c r="K237" s="7">
        <f t="shared" si="22"/>
        <v>0</v>
      </c>
      <c r="L237" s="7">
        <f t="shared" si="23"/>
        <v>0.23</v>
      </c>
    </row>
    <row r="238" spans="2:12" ht="72" x14ac:dyDescent="0.3">
      <c r="B238" s="7">
        <v>2194</v>
      </c>
      <c r="C238" s="7" t="s">
        <v>56</v>
      </c>
      <c r="D238" s="8" t="s">
        <v>263</v>
      </c>
      <c r="E238" s="7">
        <v>3</v>
      </c>
      <c r="F238" s="7">
        <v>1.01</v>
      </c>
      <c r="G238" s="7">
        <f t="shared" si="19"/>
        <v>1.2625</v>
      </c>
      <c r="H238" s="7">
        <f t="shared" si="20"/>
        <v>0.25</v>
      </c>
      <c r="I238" s="7">
        <f t="shared" si="21"/>
        <v>0.3125</v>
      </c>
      <c r="J238" s="7">
        <f t="shared" si="24"/>
        <v>0</v>
      </c>
      <c r="K238" s="7">
        <f t="shared" si="22"/>
        <v>0</v>
      </c>
      <c r="L238" s="7">
        <f t="shared" si="23"/>
        <v>0.23</v>
      </c>
    </row>
    <row r="239" spans="2:12" ht="72" x14ac:dyDescent="0.3">
      <c r="B239" s="5">
        <v>2195</v>
      </c>
      <c r="C239" s="5" t="s">
        <v>56</v>
      </c>
      <c r="D239" s="6" t="s">
        <v>264</v>
      </c>
      <c r="E239" s="7">
        <v>1</v>
      </c>
      <c r="F239" s="7">
        <v>3.34</v>
      </c>
      <c r="G239" s="7">
        <f t="shared" si="19"/>
        <v>2.5049999999999999</v>
      </c>
      <c r="H239" s="7">
        <f t="shared" si="20"/>
        <v>0.25</v>
      </c>
      <c r="I239" s="7">
        <f t="shared" si="21"/>
        <v>0.1875</v>
      </c>
      <c r="J239" s="7">
        <f t="shared" si="24"/>
        <v>0</v>
      </c>
      <c r="K239" s="7">
        <f t="shared" si="22"/>
        <v>0</v>
      </c>
      <c r="L239" s="7">
        <f t="shared" si="23"/>
        <v>0.23</v>
      </c>
    </row>
    <row r="240" spans="2:12" ht="72" x14ac:dyDescent="0.3">
      <c r="B240" s="5">
        <v>2197</v>
      </c>
      <c r="C240" s="5" t="s">
        <v>56</v>
      </c>
      <c r="D240" s="6" t="s">
        <v>265</v>
      </c>
      <c r="E240" s="7">
        <v>1</v>
      </c>
      <c r="F240" s="7">
        <v>1.75</v>
      </c>
      <c r="G240" s="7">
        <f t="shared" si="19"/>
        <v>1.3125</v>
      </c>
      <c r="H240" s="7">
        <f t="shared" si="20"/>
        <v>0.25</v>
      </c>
      <c r="I240" s="7">
        <f t="shared" si="21"/>
        <v>0.1875</v>
      </c>
      <c r="J240" s="7">
        <f t="shared" si="24"/>
        <v>0</v>
      </c>
      <c r="K240" s="7">
        <f t="shared" si="22"/>
        <v>0</v>
      </c>
      <c r="L240" s="7">
        <f t="shared" si="23"/>
        <v>0.23</v>
      </c>
    </row>
    <row r="241" spans="2:12" ht="57.6" x14ac:dyDescent="0.3">
      <c r="B241" s="5">
        <v>2196</v>
      </c>
      <c r="C241" s="5" t="s">
        <v>56</v>
      </c>
      <c r="D241" s="6" t="s">
        <v>266</v>
      </c>
      <c r="E241" s="7">
        <v>1</v>
      </c>
      <c r="F241" s="7">
        <v>0.83</v>
      </c>
      <c r="G241" s="7">
        <f t="shared" si="19"/>
        <v>0.62249999999999994</v>
      </c>
      <c r="H241" s="7">
        <f t="shared" si="20"/>
        <v>0.25</v>
      </c>
      <c r="I241" s="7">
        <f t="shared" si="21"/>
        <v>0.1875</v>
      </c>
      <c r="J241" s="7">
        <f t="shared" si="24"/>
        <v>0</v>
      </c>
      <c r="K241" s="7">
        <f t="shared" si="22"/>
        <v>0</v>
      </c>
      <c r="L241" s="7">
        <f t="shared" si="23"/>
        <v>0.23</v>
      </c>
    </row>
    <row r="242" spans="2:12" ht="43.2" x14ac:dyDescent="0.3">
      <c r="B242" s="5">
        <v>2198</v>
      </c>
      <c r="C242" s="5" t="s">
        <v>56</v>
      </c>
      <c r="D242" s="6" t="s">
        <v>267</v>
      </c>
      <c r="E242" s="7">
        <v>1</v>
      </c>
      <c r="F242" s="7">
        <v>0.85</v>
      </c>
      <c r="G242" s="7">
        <f t="shared" si="19"/>
        <v>0.63749999999999996</v>
      </c>
      <c r="H242" s="7">
        <f t="shared" si="20"/>
        <v>0.25</v>
      </c>
      <c r="I242" s="7">
        <f t="shared" si="21"/>
        <v>0.1875</v>
      </c>
      <c r="J242" s="7">
        <f t="shared" si="24"/>
        <v>0</v>
      </c>
      <c r="K242" s="7">
        <f t="shared" si="22"/>
        <v>0</v>
      </c>
      <c r="L242" s="7">
        <f t="shared" si="23"/>
        <v>0.23</v>
      </c>
    </row>
    <row r="243" spans="2:12" ht="57.6" x14ac:dyDescent="0.3">
      <c r="B243" s="5">
        <v>2199</v>
      </c>
      <c r="C243" s="5" t="s">
        <v>56</v>
      </c>
      <c r="D243" s="6" t="s">
        <v>268</v>
      </c>
      <c r="E243" s="7">
        <v>1</v>
      </c>
      <c r="F243" s="7">
        <v>1.66</v>
      </c>
      <c r="G243" s="7">
        <f t="shared" si="19"/>
        <v>1.2449999999999999</v>
      </c>
      <c r="H243" s="7">
        <f t="shared" si="20"/>
        <v>0.25</v>
      </c>
      <c r="I243" s="7">
        <f t="shared" si="21"/>
        <v>0.1875</v>
      </c>
      <c r="J243" s="7">
        <f t="shared" si="24"/>
        <v>0</v>
      </c>
      <c r="K243" s="7">
        <f t="shared" si="22"/>
        <v>0</v>
      </c>
      <c r="L243" s="7">
        <f t="shared" si="23"/>
        <v>0.23</v>
      </c>
    </row>
    <row r="244" spans="2:12" ht="43.2" x14ac:dyDescent="0.3">
      <c r="B244" s="5">
        <v>2200</v>
      </c>
      <c r="C244" s="5" t="s">
        <v>56</v>
      </c>
      <c r="D244" s="6" t="s">
        <v>269</v>
      </c>
      <c r="E244" s="7">
        <v>1</v>
      </c>
      <c r="F244" s="7">
        <v>0.65</v>
      </c>
      <c r="G244" s="7">
        <f t="shared" si="19"/>
        <v>0.48750000000000004</v>
      </c>
      <c r="H244" s="7">
        <f t="shared" si="20"/>
        <v>0.25</v>
      </c>
      <c r="I244" s="7">
        <f t="shared" si="21"/>
        <v>0.1875</v>
      </c>
      <c r="J244" s="7">
        <f t="shared" si="24"/>
        <v>0</v>
      </c>
      <c r="K244" s="7">
        <f t="shared" si="22"/>
        <v>0</v>
      </c>
      <c r="L244" s="7">
        <f t="shared" si="23"/>
        <v>0.23</v>
      </c>
    </row>
    <row r="245" spans="2:12" ht="28.8" x14ac:dyDescent="0.3">
      <c r="B245" s="5">
        <v>2201</v>
      </c>
      <c r="C245" s="5" t="s">
        <v>56</v>
      </c>
      <c r="D245" s="6" t="s">
        <v>270</v>
      </c>
      <c r="E245" s="7">
        <v>1</v>
      </c>
      <c r="F245" s="7">
        <v>0.9</v>
      </c>
      <c r="G245" s="7">
        <f t="shared" si="19"/>
        <v>0.67500000000000004</v>
      </c>
      <c r="H245" s="7">
        <f t="shared" si="20"/>
        <v>0.25</v>
      </c>
      <c r="I245" s="7">
        <f t="shared" si="21"/>
        <v>0.1875</v>
      </c>
      <c r="J245" s="7">
        <f t="shared" si="24"/>
        <v>0</v>
      </c>
      <c r="K245" s="7">
        <f t="shared" si="22"/>
        <v>0</v>
      </c>
      <c r="L245" s="7">
        <f t="shared" si="23"/>
        <v>0.23</v>
      </c>
    </row>
    <row r="246" spans="2:12" ht="28.8" x14ac:dyDescent="0.3">
      <c r="B246" s="7">
        <v>2202</v>
      </c>
      <c r="C246" s="7" t="s">
        <v>56</v>
      </c>
      <c r="D246" s="8" t="s">
        <v>271</v>
      </c>
      <c r="E246" s="7">
        <v>2</v>
      </c>
      <c r="F246" s="7">
        <v>1.04</v>
      </c>
      <c r="G246" s="7">
        <f t="shared" si="19"/>
        <v>0.93600000000000005</v>
      </c>
      <c r="H246" s="7">
        <f t="shared" si="20"/>
        <v>0.25</v>
      </c>
      <c r="I246" s="7">
        <f t="shared" si="21"/>
        <v>0.22500000000000001</v>
      </c>
      <c r="J246" s="7">
        <f t="shared" si="24"/>
        <v>0</v>
      </c>
      <c r="K246" s="7">
        <f t="shared" si="22"/>
        <v>0</v>
      </c>
      <c r="L246" s="7">
        <f t="shared" si="23"/>
        <v>0.23</v>
      </c>
    </row>
    <row r="247" spans="2:12" ht="28.8" x14ac:dyDescent="0.3">
      <c r="B247" s="5">
        <v>2203</v>
      </c>
      <c r="C247" s="5" t="s">
        <v>56</v>
      </c>
      <c r="D247" s="6" t="s">
        <v>272</v>
      </c>
      <c r="E247" s="7">
        <v>1</v>
      </c>
      <c r="F247" s="7">
        <v>4.58</v>
      </c>
      <c r="G247" s="7">
        <f t="shared" si="19"/>
        <v>3.4350000000000001</v>
      </c>
      <c r="H247" s="7">
        <f t="shared" si="20"/>
        <v>0.25</v>
      </c>
      <c r="I247" s="7">
        <f t="shared" si="21"/>
        <v>0.1875</v>
      </c>
      <c r="J247" s="7">
        <f t="shared" si="24"/>
        <v>0</v>
      </c>
      <c r="K247" s="7">
        <f t="shared" si="22"/>
        <v>0</v>
      </c>
      <c r="L247" s="7">
        <f t="shared" si="23"/>
        <v>0.23</v>
      </c>
    </row>
    <row r="248" spans="2:12" ht="86.4" x14ac:dyDescent="0.3">
      <c r="B248" s="5">
        <v>2204</v>
      </c>
      <c r="C248" s="5" t="s">
        <v>56</v>
      </c>
      <c r="D248" s="6" t="s">
        <v>273</v>
      </c>
      <c r="E248" s="7">
        <v>1</v>
      </c>
      <c r="F248" s="7">
        <v>1.1200000000000001</v>
      </c>
      <c r="G248" s="7">
        <f t="shared" si="19"/>
        <v>0.84000000000000008</v>
      </c>
      <c r="H248" s="7">
        <f t="shared" si="20"/>
        <v>0.25</v>
      </c>
      <c r="I248" s="7">
        <f t="shared" si="21"/>
        <v>0.1875</v>
      </c>
      <c r="J248" s="7">
        <f t="shared" si="24"/>
        <v>0</v>
      </c>
      <c r="K248" s="7">
        <f t="shared" si="22"/>
        <v>0</v>
      </c>
      <c r="L248" s="7">
        <f t="shared" si="23"/>
        <v>0.23</v>
      </c>
    </row>
    <row r="249" spans="2:12" ht="72" x14ac:dyDescent="0.3">
      <c r="B249" s="5">
        <v>2205</v>
      </c>
      <c r="C249" s="5" t="s">
        <v>56</v>
      </c>
      <c r="D249" s="6" t="s">
        <v>274</v>
      </c>
      <c r="E249" s="7">
        <v>1</v>
      </c>
      <c r="F249" s="7">
        <v>1.18</v>
      </c>
      <c r="G249" s="7">
        <f t="shared" si="19"/>
        <v>0.88500000000000001</v>
      </c>
      <c r="H249" s="7">
        <f t="shared" si="20"/>
        <v>0.25</v>
      </c>
      <c r="I249" s="7">
        <f t="shared" si="21"/>
        <v>0.1875</v>
      </c>
      <c r="J249" s="7">
        <f t="shared" si="24"/>
        <v>0</v>
      </c>
      <c r="K249" s="7">
        <f t="shared" si="22"/>
        <v>0</v>
      </c>
      <c r="L249" s="7">
        <f t="shared" si="23"/>
        <v>0.23</v>
      </c>
    </row>
    <row r="250" spans="2:12" ht="86.4" x14ac:dyDescent="0.3">
      <c r="B250" s="5">
        <v>2206</v>
      </c>
      <c r="C250" s="5" t="s">
        <v>56</v>
      </c>
      <c r="D250" s="6" t="s">
        <v>275</v>
      </c>
      <c r="E250" s="7">
        <v>1</v>
      </c>
      <c r="F250" s="7">
        <v>1.31</v>
      </c>
      <c r="G250" s="7">
        <f t="shared" si="19"/>
        <v>0.98250000000000004</v>
      </c>
      <c r="H250" s="7">
        <f t="shared" si="20"/>
        <v>0.25</v>
      </c>
      <c r="I250" s="7">
        <f t="shared" si="21"/>
        <v>0.1875</v>
      </c>
      <c r="J250" s="7">
        <f t="shared" si="24"/>
        <v>0</v>
      </c>
      <c r="K250" s="7">
        <f t="shared" si="22"/>
        <v>0</v>
      </c>
      <c r="L250" s="7">
        <f t="shared" si="23"/>
        <v>0.23</v>
      </c>
    </row>
    <row r="251" spans="2:12" ht="43.2" x14ac:dyDescent="0.3">
      <c r="B251" s="7">
        <v>2207</v>
      </c>
      <c r="C251" s="7" t="s">
        <v>56</v>
      </c>
      <c r="D251" s="8" t="s">
        <v>276</v>
      </c>
      <c r="E251" s="7">
        <v>4</v>
      </c>
      <c r="F251" s="7">
        <v>1.19</v>
      </c>
      <c r="G251" s="7">
        <f t="shared" si="19"/>
        <v>3.0939999999999999</v>
      </c>
      <c r="H251" s="7">
        <f t="shared" si="20"/>
        <v>0.25</v>
      </c>
      <c r="I251" s="7">
        <f t="shared" si="21"/>
        <v>0.65</v>
      </c>
      <c r="J251" s="7">
        <f t="shared" si="24"/>
        <v>0</v>
      </c>
      <c r="K251" s="7">
        <f t="shared" si="22"/>
        <v>0</v>
      </c>
      <c r="L251" s="7">
        <f t="shared" si="23"/>
        <v>0.23</v>
      </c>
    </row>
    <row r="252" spans="2:12" ht="57.6" x14ac:dyDescent="0.3">
      <c r="B252" s="5">
        <v>2208</v>
      </c>
      <c r="C252" s="5" t="s">
        <v>56</v>
      </c>
      <c r="D252" s="6" t="s">
        <v>277</v>
      </c>
      <c r="E252" s="7">
        <v>1</v>
      </c>
      <c r="F252" s="7">
        <v>1.3</v>
      </c>
      <c r="G252" s="7">
        <f t="shared" si="19"/>
        <v>0.97500000000000009</v>
      </c>
      <c r="H252" s="7">
        <f t="shared" si="20"/>
        <v>0.25</v>
      </c>
      <c r="I252" s="7">
        <f t="shared" si="21"/>
        <v>0.1875</v>
      </c>
      <c r="J252" s="7">
        <f t="shared" si="24"/>
        <v>0</v>
      </c>
      <c r="K252" s="7">
        <f t="shared" si="22"/>
        <v>0</v>
      </c>
      <c r="L252" s="7">
        <f t="shared" si="23"/>
        <v>0.23</v>
      </c>
    </row>
    <row r="253" spans="2:12" ht="409.6" x14ac:dyDescent="0.3">
      <c r="B253" s="7">
        <v>2216</v>
      </c>
      <c r="C253" s="7" t="s">
        <v>56</v>
      </c>
      <c r="D253" s="8" t="s">
        <v>278</v>
      </c>
      <c r="E253" s="7">
        <v>3</v>
      </c>
      <c r="F253" s="7">
        <v>1.54</v>
      </c>
      <c r="G253" s="7">
        <f t="shared" si="19"/>
        <v>1.925</v>
      </c>
      <c r="H253" s="7">
        <f t="shared" si="20"/>
        <v>0.25</v>
      </c>
      <c r="I253" s="7">
        <f t="shared" si="21"/>
        <v>0.3125</v>
      </c>
      <c r="J253" s="7">
        <f t="shared" si="24"/>
        <v>0</v>
      </c>
      <c r="K253" s="7">
        <f t="shared" si="22"/>
        <v>0</v>
      </c>
      <c r="L253" s="7">
        <f t="shared" si="23"/>
        <v>0.23</v>
      </c>
    </row>
    <row r="254" spans="2:12" ht="72" x14ac:dyDescent="0.3">
      <c r="B254" s="5">
        <v>3001</v>
      </c>
      <c r="C254" s="5" t="s">
        <v>279</v>
      </c>
      <c r="D254" s="6" t="s">
        <v>280</v>
      </c>
      <c r="E254" s="7">
        <v>1</v>
      </c>
      <c r="F254" s="7">
        <v>0.6</v>
      </c>
      <c r="G254" s="7">
        <f t="shared" si="19"/>
        <v>0.44999999999999996</v>
      </c>
      <c r="H254" s="7">
        <f t="shared" si="20"/>
        <v>0.25</v>
      </c>
      <c r="I254" s="7">
        <f t="shared" si="21"/>
        <v>0.1875</v>
      </c>
      <c r="J254" s="7">
        <f t="shared" si="24"/>
        <v>0</v>
      </c>
      <c r="K254" s="7">
        <f t="shared" si="22"/>
        <v>0</v>
      </c>
      <c r="L254" s="7">
        <f t="shared" si="23"/>
        <v>0.23</v>
      </c>
    </row>
    <row r="255" spans="2:12" ht="28.8" x14ac:dyDescent="0.3">
      <c r="B255" s="5">
        <v>3002</v>
      </c>
      <c r="C255" s="5" t="s">
        <v>279</v>
      </c>
      <c r="D255" s="6" t="s">
        <v>281</v>
      </c>
      <c r="E255" s="7">
        <v>1</v>
      </c>
      <c r="F255" s="7">
        <v>0.41</v>
      </c>
      <c r="G255" s="7">
        <f t="shared" si="19"/>
        <v>0.3075</v>
      </c>
      <c r="H255" s="7">
        <f t="shared" si="20"/>
        <v>0.25</v>
      </c>
      <c r="I255" s="7">
        <f t="shared" si="21"/>
        <v>0.1875</v>
      </c>
      <c r="J255" s="7">
        <f t="shared" si="24"/>
        <v>0</v>
      </c>
      <c r="K255" s="7">
        <f t="shared" si="22"/>
        <v>0</v>
      </c>
      <c r="L255" s="7">
        <f t="shared" si="23"/>
        <v>0.23</v>
      </c>
    </row>
    <row r="256" spans="2:12" x14ac:dyDescent="0.3">
      <c r="B256" s="5">
        <v>3003</v>
      </c>
      <c r="C256" s="5" t="s">
        <v>279</v>
      </c>
      <c r="D256" s="6" t="s">
        <v>282</v>
      </c>
      <c r="E256" s="7">
        <v>1</v>
      </c>
      <c r="F256" s="7">
        <v>0.35</v>
      </c>
      <c r="G256" s="7">
        <f t="shared" si="19"/>
        <v>0.26249999999999996</v>
      </c>
      <c r="H256" s="7">
        <f t="shared" si="20"/>
        <v>0.25</v>
      </c>
      <c r="I256" s="7">
        <f t="shared" si="21"/>
        <v>0.1875</v>
      </c>
      <c r="J256" s="7">
        <f t="shared" si="24"/>
        <v>0</v>
      </c>
      <c r="K256" s="7">
        <f t="shared" si="22"/>
        <v>0</v>
      </c>
      <c r="L256" s="7">
        <f t="shared" si="23"/>
        <v>0.23</v>
      </c>
    </row>
    <row r="257" spans="2:12" ht="57.6" x14ac:dyDescent="0.3">
      <c r="B257" s="5">
        <v>3004</v>
      </c>
      <c r="C257" s="5" t="s">
        <v>279</v>
      </c>
      <c r="D257" s="6" t="s">
        <v>283</v>
      </c>
      <c r="E257" s="7">
        <v>1</v>
      </c>
      <c r="F257" s="7">
        <v>0.68</v>
      </c>
      <c r="G257" s="7">
        <f t="shared" si="19"/>
        <v>0.51</v>
      </c>
      <c r="H257" s="7">
        <f t="shared" si="20"/>
        <v>0.25</v>
      </c>
      <c r="I257" s="7">
        <f t="shared" si="21"/>
        <v>0.1875</v>
      </c>
      <c r="J257" s="7">
        <f t="shared" si="24"/>
        <v>0</v>
      </c>
      <c r="K257" s="7">
        <f t="shared" si="22"/>
        <v>0</v>
      </c>
      <c r="L257" s="7">
        <f t="shared" si="23"/>
        <v>0.23</v>
      </c>
    </row>
    <row r="258" spans="2:12" ht="72" x14ac:dyDescent="0.3">
      <c r="B258" s="5">
        <v>3005</v>
      </c>
      <c r="C258" s="5" t="s">
        <v>279</v>
      </c>
      <c r="D258" s="6" t="s">
        <v>284</v>
      </c>
      <c r="E258" s="7">
        <v>1</v>
      </c>
      <c r="F258" s="7">
        <v>0.27</v>
      </c>
      <c r="G258" s="7">
        <f t="shared" si="19"/>
        <v>0.20250000000000001</v>
      </c>
      <c r="H258" s="7">
        <f t="shared" si="20"/>
        <v>0.25</v>
      </c>
      <c r="I258" s="7">
        <f t="shared" si="21"/>
        <v>0.1875</v>
      </c>
      <c r="J258" s="7">
        <f t="shared" si="24"/>
        <v>0</v>
      </c>
      <c r="K258" s="7">
        <f t="shared" si="22"/>
        <v>0</v>
      </c>
      <c r="L258" s="7">
        <f t="shared" si="23"/>
        <v>0.23</v>
      </c>
    </row>
    <row r="259" spans="2:12" ht="72" x14ac:dyDescent="0.3">
      <c r="B259" s="5">
        <v>3006</v>
      </c>
      <c r="C259" s="5" t="s">
        <v>279</v>
      </c>
      <c r="D259" s="6" t="s">
        <v>285</v>
      </c>
      <c r="E259" s="7">
        <v>1</v>
      </c>
      <c r="F259" s="7">
        <v>0.18</v>
      </c>
      <c r="G259" s="7">
        <f t="shared" si="19"/>
        <v>0.13500000000000001</v>
      </c>
      <c r="H259" s="7">
        <f t="shared" si="20"/>
        <v>0.25</v>
      </c>
      <c r="I259" s="7">
        <f t="shared" si="21"/>
        <v>0.1875</v>
      </c>
      <c r="J259" s="7">
        <f t="shared" si="24"/>
        <v>0</v>
      </c>
      <c r="K259" s="7">
        <f t="shared" si="22"/>
        <v>0</v>
      </c>
      <c r="L259" s="7">
        <f t="shared" si="23"/>
        <v>0.23</v>
      </c>
    </row>
    <row r="260" spans="2:12" ht="57.6" x14ac:dyDescent="0.3">
      <c r="B260" s="5">
        <v>3007</v>
      </c>
      <c r="C260" s="5" t="s">
        <v>279</v>
      </c>
      <c r="D260" s="6" t="s">
        <v>286</v>
      </c>
      <c r="E260" s="7">
        <v>1</v>
      </c>
      <c r="F260" s="7">
        <v>0.44</v>
      </c>
      <c r="G260" s="7">
        <f t="shared" ref="G260:G292" si="25">IF(E260=1,(F260-(F260*0.25)),IF(E260=2,(F260-(F260*0.1)),IF(E260=3,(F260+(F260*0.25)),IF(E260=4,(F260+(F260*1.6)),0))))</f>
        <v>0.33</v>
      </c>
      <c r="H260" s="7">
        <f t="shared" ref="H260:H272" si="26">IF(C260="III",0.15,IF(C260="IV",0.25,IF(C260="V",0.25,IF(C260="VII",0.25,0))))</f>
        <v>0.25</v>
      </c>
      <c r="I260" s="7">
        <f t="shared" ref="I260:I292" si="27">IF(E260=1,(H260-(H260*0.25)),IF(E260=2,(H260-(H260*0.1)),IF(E260=3,(H260+(H260*0.25)),IF(E260=4,(H260+(H260*1.6)),0))))</f>
        <v>0.1875</v>
      </c>
      <c r="J260" s="7">
        <f t="shared" si="24"/>
        <v>0</v>
      </c>
      <c r="K260" s="7">
        <f t="shared" ref="K260:K292" si="28">IF(E260=1,(J260-(J260*0.25)),IF(E260=2,(J260-(J260*0.1)),IF(E260=3,(J260+(J260*0.25)),IF(E260=4,(J260+(J260*1.6)),0))))</f>
        <v>0</v>
      </c>
      <c r="L260" s="7">
        <f t="shared" ref="L260:L292" si="29">IF(C260="III",0.15,0.23)</f>
        <v>0.23</v>
      </c>
    </row>
    <row r="261" spans="2:12" ht="28.8" x14ac:dyDescent="0.3">
      <c r="B261" s="5">
        <v>3008</v>
      </c>
      <c r="C261" s="5" t="s">
        <v>279</v>
      </c>
      <c r="D261" s="6" t="s">
        <v>287</v>
      </c>
      <c r="E261" s="7">
        <v>1</v>
      </c>
      <c r="F261" s="7">
        <v>0.44</v>
      </c>
      <c r="G261" s="7">
        <f t="shared" si="25"/>
        <v>0.33</v>
      </c>
      <c r="H261" s="7">
        <f t="shared" si="26"/>
        <v>0.25</v>
      </c>
      <c r="I261" s="7">
        <f t="shared" si="27"/>
        <v>0.1875</v>
      </c>
      <c r="J261" s="7">
        <f t="shared" si="24"/>
        <v>0</v>
      </c>
      <c r="K261" s="7">
        <f t="shared" si="28"/>
        <v>0</v>
      </c>
      <c r="L261" s="7">
        <f t="shared" si="29"/>
        <v>0.23</v>
      </c>
    </row>
    <row r="262" spans="2:12" ht="43.2" x14ac:dyDescent="0.3">
      <c r="B262" s="5">
        <v>3009</v>
      </c>
      <c r="C262" s="5" t="s">
        <v>279</v>
      </c>
      <c r="D262" s="6" t="s">
        <v>288</v>
      </c>
      <c r="E262" s="7">
        <v>1</v>
      </c>
      <c r="F262" s="7">
        <v>0.34</v>
      </c>
      <c r="G262" s="7">
        <f t="shared" si="25"/>
        <v>0.255</v>
      </c>
      <c r="H262" s="7">
        <f t="shared" si="26"/>
        <v>0.25</v>
      </c>
      <c r="I262" s="7">
        <f t="shared" si="27"/>
        <v>0.1875</v>
      </c>
      <c r="J262" s="7">
        <f t="shared" si="24"/>
        <v>0</v>
      </c>
      <c r="K262" s="7">
        <f t="shared" si="28"/>
        <v>0</v>
      </c>
      <c r="L262" s="7">
        <f t="shared" si="29"/>
        <v>0.23</v>
      </c>
    </row>
    <row r="263" spans="2:12" ht="43.2" x14ac:dyDescent="0.3">
      <c r="B263" s="7">
        <v>3010</v>
      </c>
      <c r="C263" s="7" t="s">
        <v>279</v>
      </c>
      <c r="D263" s="8" t="s">
        <v>289</v>
      </c>
      <c r="E263" s="7">
        <v>2</v>
      </c>
      <c r="F263" s="7">
        <v>1.39</v>
      </c>
      <c r="G263" s="7">
        <f t="shared" si="25"/>
        <v>1.2509999999999999</v>
      </c>
      <c r="H263" s="7">
        <f t="shared" si="26"/>
        <v>0.25</v>
      </c>
      <c r="I263" s="7">
        <f t="shared" si="27"/>
        <v>0.22500000000000001</v>
      </c>
      <c r="J263" s="7">
        <f t="shared" si="24"/>
        <v>0</v>
      </c>
      <c r="K263" s="7">
        <f t="shared" si="28"/>
        <v>0</v>
      </c>
      <c r="L263" s="7">
        <f t="shared" si="29"/>
        <v>0.23</v>
      </c>
    </row>
    <row r="264" spans="2:12" ht="28.8" x14ac:dyDescent="0.3">
      <c r="B264" s="5">
        <v>3011</v>
      </c>
      <c r="C264" s="5" t="s">
        <v>279</v>
      </c>
      <c r="D264" s="6" t="s">
        <v>290</v>
      </c>
      <c r="E264" s="7">
        <v>1</v>
      </c>
      <c r="F264" s="7">
        <v>0.78</v>
      </c>
      <c r="G264" s="7">
        <f t="shared" si="25"/>
        <v>0.58499999999999996</v>
      </c>
      <c r="H264" s="7">
        <f t="shared" si="26"/>
        <v>0.25</v>
      </c>
      <c r="I264" s="7">
        <f t="shared" si="27"/>
        <v>0.1875</v>
      </c>
      <c r="J264" s="7">
        <f t="shared" si="24"/>
        <v>0</v>
      </c>
      <c r="K264" s="7">
        <f t="shared" si="28"/>
        <v>0</v>
      </c>
      <c r="L264" s="7">
        <f t="shared" si="29"/>
        <v>0.23</v>
      </c>
    </row>
    <row r="265" spans="2:12" x14ac:dyDescent="0.3">
      <c r="B265" s="7">
        <v>3012</v>
      </c>
      <c r="C265" s="7" t="s">
        <v>279</v>
      </c>
      <c r="D265" s="8" t="s">
        <v>291</v>
      </c>
      <c r="E265" s="7">
        <v>4</v>
      </c>
      <c r="F265" s="7">
        <v>0.55000000000000004</v>
      </c>
      <c r="G265" s="7">
        <f t="shared" si="25"/>
        <v>1.4300000000000002</v>
      </c>
      <c r="H265" s="7">
        <f t="shared" si="26"/>
        <v>0.25</v>
      </c>
      <c r="I265" s="7">
        <f t="shared" si="27"/>
        <v>0.65</v>
      </c>
      <c r="J265" s="7">
        <f t="shared" si="24"/>
        <v>0</v>
      </c>
      <c r="K265" s="7">
        <f t="shared" si="28"/>
        <v>0</v>
      </c>
      <c r="L265" s="7">
        <f t="shared" si="29"/>
        <v>0.23</v>
      </c>
    </row>
    <row r="266" spans="2:12" ht="72" x14ac:dyDescent="0.3">
      <c r="B266" s="5">
        <v>3013</v>
      </c>
      <c r="C266" s="5" t="s">
        <v>279</v>
      </c>
      <c r="D266" s="6" t="s">
        <v>292</v>
      </c>
      <c r="E266" s="7">
        <v>1</v>
      </c>
      <c r="F266" s="7">
        <v>0.15</v>
      </c>
      <c r="G266" s="7">
        <f t="shared" si="25"/>
        <v>0.11249999999999999</v>
      </c>
      <c r="H266" s="7">
        <f t="shared" si="26"/>
        <v>0.25</v>
      </c>
      <c r="I266" s="7">
        <f t="shared" si="27"/>
        <v>0.1875</v>
      </c>
      <c r="J266" s="7">
        <f t="shared" si="24"/>
        <v>0</v>
      </c>
      <c r="K266" s="7">
        <f t="shared" si="28"/>
        <v>0</v>
      </c>
      <c r="L266" s="7">
        <f t="shared" si="29"/>
        <v>0.23</v>
      </c>
    </row>
    <row r="267" spans="2:12" ht="57.6" x14ac:dyDescent="0.3">
      <c r="B267" s="5">
        <v>3014</v>
      </c>
      <c r="C267" s="5" t="s">
        <v>279</v>
      </c>
      <c r="D267" s="6" t="s">
        <v>293</v>
      </c>
      <c r="E267" s="7">
        <v>1</v>
      </c>
      <c r="F267" s="7">
        <v>0.62</v>
      </c>
      <c r="G267" s="7">
        <f t="shared" si="25"/>
        <v>0.46499999999999997</v>
      </c>
      <c r="H267" s="7">
        <f t="shared" si="26"/>
        <v>0.25</v>
      </c>
      <c r="I267" s="7">
        <f t="shared" si="27"/>
        <v>0.1875</v>
      </c>
      <c r="J267" s="7">
        <f t="shared" si="24"/>
        <v>0</v>
      </c>
      <c r="K267" s="7">
        <f t="shared" si="28"/>
        <v>0</v>
      </c>
      <c r="L267" s="7">
        <f t="shared" si="29"/>
        <v>0.23</v>
      </c>
    </row>
    <row r="268" spans="2:12" ht="129.6" x14ac:dyDescent="0.3">
      <c r="B268" s="5">
        <v>3015</v>
      </c>
      <c r="C268" s="5" t="s">
        <v>279</v>
      </c>
      <c r="D268" s="6" t="s">
        <v>294</v>
      </c>
      <c r="E268" s="7">
        <v>1</v>
      </c>
      <c r="F268" s="7">
        <v>0.7</v>
      </c>
      <c r="G268" s="7">
        <f t="shared" si="25"/>
        <v>0.52499999999999991</v>
      </c>
      <c r="H268" s="7">
        <f t="shared" si="26"/>
        <v>0.25</v>
      </c>
      <c r="I268" s="7">
        <f t="shared" si="27"/>
        <v>0.1875</v>
      </c>
      <c r="J268" s="7">
        <f t="shared" si="24"/>
        <v>0</v>
      </c>
      <c r="K268" s="7">
        <f t="shared" si="28"/>
        <v>0</v>
      </c>
      <c r="L268" s="7">
        <f t="shared" si="29"/>
        <v>0.23</v>
      </c>
    </row>
    <row r="269" spans="2:12" ht="86.4" x14ac:dyDescent="0.3">
      <c r="B269" s="5">
        <v>3016</v>
      </c>
      <c r="C269" s="5" t="s">
        <v>279</v>
      </c>
      <c r="D269" s="6" t="s">
        <v>295</v>
      </c>
      <c r="E269" s="7">
        <v>1</v>
      </c>
      <c r="F269" s="7">
        <v>2.0099999999999998</v>
      </c>
      <c r="G269" s="7">
        <f t="shared" si="25"/>
        <v>1.5074999999999998</v>
      </c>
      <c r="H269" s="7">
        <f t="shared" si="26"/>
        <v>0.25</v>
      </c>
      <c r="I269" s="7">
        <f t="shared" si="27"/>
        <v>0.1875</v>
      </c>
      <c r="J269" s="7">
        <f t="shared" si="24"/>
        <v>0</v>
      </c>
      <c r="K269" s="7">
        <f t="shared" si="28"/>
        <v>0</v>
      </c>
      <c r="L269" s="7">
        <f t="shared" si="29"/>
        <v>0.23</v>
      </c>
    </row>
    <row r="270" spans="2:12" ht="100.8" x14ac:dyDescent="0.3">
      <c r="B270" s="5">
        <v>3017</v>
      </c>
      <c r="C270" s="5" t="s">
        <v>279</v>
      </c>
      <c r="D270" s="6" t="s">
        <v>296</v>
      </c>
      <c r="E270" s="7">
        <v>1</v>
      </c>
      <c r="F270" s="7">
        <v>1.51</v>
      </c>
      <c r="G270" s="7">
        <f t="shared" si="25"/>
        <v>1.1325000000000001</v>
      </c>
      <c r="H270" s="7">
        <f t="shared" si="26"/>
        <v>0.25</v>
      </c>
      <c r="I270" s="7">
        <f t="shared" si="27"/>
        <v>0.1875</v>
      </c>
      <c r="J270" s="7">
        <f t="shared" si="24"/>
        <v>0</v>
      </c>
      <c r="K270" s="7">
        <f t="shared" si="28"/>
        <v>0</v>
      </c>
      <c r="L270" s="7">
        <f t="shared" si="29"/>
        <v>0.23</v>
      </c>
    </row>
    <row r="271" spans="2:12" ht="43.2" x14ac:dyDescent="0.3">
      <c r="B271" s="7">
        <v>3018</v>
      </c>
      <c r="C271" s="7" t="s">
        <v>279</v>
      </c>
      <c r="D271" s="8" t="s">
        <v>297</v>
      </c>
      <c r="E271" s="7">
        <v>3</v>
      </c>
      <c r="F271" s="7">
        <v>0.68</v>
      </c>
      <c r="G271" s="7">
        <f t="shared" si="25"/>
        <v>0.85000000000000009</v>
      </c>
      <c r="H271" s="7">
        <f t="shared" si="26"/>
        <v>0.25</v>
      </c>
      <c r="I271" s="7">
        <f t="shared" si="27"/>
        <v>0.3125</v>
      </c>
      <c r="J271" s="7">
        <f t="shared" si="24"/>
        <v>0</v>
      </c>
      <c r="K271" s="7">
        <f t="shared" si="28"/>
        <v>0</v>
      </c>
      <c r="L271" s="7">
        <f t="shared" si="29"/>
        <v>0.23</v>
      </c>
    </row>
    <row r="272" spans="2:12" ht="43.2" x14ac:dyDescent="0.3">
      <c r="B272" s="5">
        <v>3019</v>
      </c>
      <c r="C272" s="5" t="s">
        <v>279</v>
      </c>
      <c r="D272" s="6" t="s">
        <v>298</v>
      </c>
      <c r="E272" s="7">
        <v>1</v>
      </c>
      <c r="F272" s="7">
        <v>0.6</v>
      </c>
      <c r="G272" s="7">
        <f t="shared" si="25"/>
        <v>0.44999999999999996</v>
      </c>
      <c r="H272" s="7">
        <f t="shared" si="26"/>
        <v>0.25</v>
      </c>
      <c r="I272" s="7">
        <f t="shared" si="27"/>
        <v>0.1875</v>
      </c>
      <c r="J272" s="7">
        <f t="shared" si="24"/>
        <v>0</v>
      </c>
      <c r="K272" s="7">
        <f t="shared" si="28"/>
        <v>0</v>
      </c>
      <c r="L272" s="7">
        <f t="shared" si="29"/>
        <v>0.23</v>
      </c>
    </row>
    <row r="273" spans="2:12" ht="345.6" x14ac:dyDescent="0.3">
      <c r="B273" s="5">
        <v>4001</v>
      </c>
      <c r="C273" s="5" t="s">
        <v>299</v>
      </c>
      <c r="D273" s="6" t="s">
        <v>300</v>
      </c>
      <c r="E273" s="7">
        <v>1</v>
      </c>
      <c r="F273" s="7">
        <v>0.55000000000000004</v>
      </c>
      <c r="G273" s="7">
        <f t="shared" si="25"/>
        <v>0.41250000000000003</v>
      </c>
      <c r="H273" s="7">
        <v>0.35</v>
      </c>
      <c r="I273" s="7">
        <f t="shared" si="27"/>
        <v>0.26249999999999996</v>
      </c>
      <c r="J273" s="7">
        <f t="shared" si="24"/>
        <v>0</v>
      </c>
      <c r="K273" s="7">
        <f t="shared" si="28"/>
        <v>0</v>
      </c>
      <c r="L273" s="7">
        <f t="shared" si="29"/>
        <v>0.23</v>
      </c>
    </row>
    <row r="274" spans="2:12" ht="331.2" x14ac:dyDescent="0.3">
      <c r="B274" s="5">
        <v>4002</v>
      </c>
      <c r="C274" s="5" t="s">
        <v>299</v>
      </c>
      <c r="D274" s="6" t="s">
        <v>301</v>
      </c>
      <c r="E274" s="7">
        <v>1</v>
      </c>
      <c r="F274" s="7">
        <v>1.1200000000000001</v>
      </c>
      <c r="G274" s="7">
        <f t="shared" si="25"/>
        <v>0.84000000000000008</v>
      </c>
      <c r="H274" s="7">
        <v>0.35</v>
      </c>
      <c r="I274" s="7">
        <f t="shared" si="27"/>
        <v>0.26249999999999996</v>
      </c>
      <c r="J274" s="7">
        <f t="shared" si="24"/>
        <v>0</v>
      </c>
      <c r="K274" s="7">
        <f t="shared" si="28"/>
        <v>0</v>
      </c>
      <c r="L274" s="7">
        <f t="shared" si="29"/>
        <v>0.23</v>
      </c>
    </row>
    <row r="275" spans="2:12" ht="331.2" x14ac:dyDescent="0.3">
      <c r="B275" s="7">
        <v>4012</v>
      </c>
      <c r="C275" s="7" t="s">
        <v>299</v>
      </c>
      <c r="D275" s="8" t="s">
        <v>302</v>
      </c>
      <c r="E275" s="7">
        <v>2</v>
      </c>
      <c r="F275" s="7">
        <v>1.94</v>
      </c>
      <c r="G275" s="7">
        <f t="shared" si="25"/>
        <v>1.746</v>
      </c>
      <c r="H275" s="7">
        <v>1.5</v>
      </c>
      <c r="I275" s="7">
        <f t="shared" si="27"/>
        <v>1.35</v>
      </c>
      <c r="J275" s="7">
        <f t="shared" si="24"/>
        <v>0</v>
      </c>
      <c r="K275" s="7">
        <f t="shared" si="28"/>
        <v>0</v>
      </c>
      <c r="L275" s="7">
        <f t="shared" si="29"/>
        <v>0.23</v>
      </c>
    </row>
    <row r="276" spans="2:12" ht="331.2" x14ac:dyDescent="0.3">
      <c r="B276" s="5">
        <v>4013</v>
      </c>
      <c r="C276" s="5" t="s">
        <v>299</v>
      </c>
      <c r="D276" s="6" t="s">
        <v>303</v>
      </c>
      <c r="E276" s="7">
        <v>1</v>
      </c>
      <c r="F276" s="7">
        <v>2.16</v>
      </c>
      <c r="G276" s="7">
        <f t="shared" si="25"/>
        <v>1.62</v>
      </c>
      <c r="H276" s="7">
        <v>1.5</v>
      </c>
      <c r="I276" s="7">
        <f t="shared" si="27"/>
        <v>1.125</v>
      </c>
      <c r="J276" s="7">
        <f t="shared" si="24"/>
        <v>0</v>
      </c>
      <c r="K276" s="7">
        <f t="shared" si="28"/>
        <v>0</v>
      </c>
      <c r="L276" s="7">
        <f t="shared" si="29"/>
        <v>0.23</v>
      </c>
    </row>
    <row r="277" spans="2:12" ht="345.6" x14ac:dyDescent="0.3">
      <c r="B277" s="5">
        <v>4003</v>
      </c>
      <c r="C277" s="5" t="s">
        <v>299</v>
      </c>
      <c r="D277" s="6" t="s">
        <v>304</v>
      </c>
      <c r="E277" s="7">
        <v>1</v>
      </c>
      <c r="F277" s="7">
        <v>2.4900000000000002</v>
      </c>
      <c r="G277" s="7">
        <f t="shared" si="25"/>
        <v>1.8675000000000002</v>
      </c>
      <c r="H277" s="7">
        <v>0.35</v>
      </c>
      <c r="I277" s="7">
        <f t="shared" si="27"/>
        <v>0.26249999999999996</v>
      </c>
      <c r="J277" s="7">
        <f t="shared" si="24"/>
        <v>0</v>
      </c>
      <c r="K277" s="7">
        <f t="shared" si="28"/>
        <v>0</v>
      </c>
      <c r="L277" s="7">
        <f t="shared" si="29"/>
        <v>0.23</v>
      </c>
    </row>
    <row r="278" spans="2:12" ht="316.8" x14ac:dyDescent="0.3">
      <c r="B278" s="5">
        <v>4014</v>
      </c>
      <c r="C278" s="5" t="s">
        <v>299</v>
      </c>
      <c r="D278" s="6" t="s">
        <v>305</v>
      </c>
      <c r="E278" s="7">
        <v>1</v>
      </c>
      <c r="F278" s="7">
        <v>5.33</v>
      </c>
      <c r="G278" s="7">
        <f t="shared" si="25"/>
        <v>3.9975000000000001</v>
      </c>
      <c r="H278" s="7">
        <v>1.5</v>
      </c>
      <c r="I278" s="7">
        <f t="shared" si="27"/>
        <v>1.125</v>
      </c>
      <c r="J278" s="7">
        <f t="shared" si="24"/>
        <v>0</v>
      </c>
      <c r="K278" s="7">
        <f t="shared" si="28"/>
        <v>0</v>
      </c>
      <c r="L278" s="7">
        <f t="shared" si="29"/>
        <v>0.23</v>
      </c>
    </row>
    <row r="279" spans="2:12" ht="259.2" x14ac:dyDescent="0.3">
      <c r="B279" s="7">
        <v>4015</v>
      </c>
      <c r="C279" s="7" t="s">
        <v>299</v>
      </c>
      <c r="D279" s="8" t="s">
        <v>306</v>
      </c>
      <c r="E279" s="7">
        <v>4</v>
      </c>
      <c r="F279" s="7">
        <v>5</v>
      </c>
      <c r="G279" s="7">
        <f t="shared" si="25"/>
        <v>13</v>
      </c>
      <c r="H279" s="7">
        <v>1.5</v>
      </c>
      <c r="I279" s="7">
        <f t="shared" si="27"/>
        <v>3.9000000000000004</v>
      </c>
      <c r="J279" s="7">
        <f t="shared" si="24"/>
        <v>0</v>
      </c>
      <c r="K279" s="7">
        <f t="shared" si="28"/>
        <v>0</v>
      </c>
      <c r="L279" s="7">
        <f t="shared" si="29"/>
        <v>0.23</v>
      </c>
    </row>
    <row r="280" spans="2:12" ht="288" x14ac:dyDescent="0.3">
      <c r="B280" s="5">
        <v>4004</v>
      </c>
      <c r="C280" s="5" t="s">
        <v>299</v>
      </c>
      <c r="D280" s="6" t="s">
        <v>307</v>
      </c>
      <c r="E280" s="7">
        <v>1</v>
      </c>
      <c r="F280" s="7">
        <v>2.4900000000000002</v>
      </c>
      <c r="G280" s="7">
        <f t="shared" si="25"/>
        <v>1.8675000000000002</v>
      </c>
      <c r="H280" s="7">
        <v>0.35</v>
      </c>
      <c r="I280" s="7">
        <f t="shared" si="27"/>
        <v>0.26249999999999996</v>
      </c>
      <c r="J280" s="7">
        <f t="shared" si="24"/>
        <v>0</v>
      </c>
      <c r="K280" s="7">
        <f t="shared" si="28"/>
        <v>0</v>
      </c>
      <c r="L280" s="7">
        <f t="shared" si="29"/>
        <v>0.23</v>
      </c>
    </row>
    <row r="281" spans="2:12" ht="187.2" x14ac:dyDescent="0.3">
      <c r="B281" s="5">
        <v>4005</v>
      </c>
      <c r="C281" s="5" t="s">
        <v>299</v>
      </c>
      <c r="D281" s="6" t="s">
        <v>308</v>
      </c>
      <c r="E281" s="7">
        <v>1</v>
      </c>
      <c r="F281" s="7">
        <v>0.86</v>
      </c>
      <c r="G281" s="7">
        <f t="shared" si="25"/>
        <v>0.64500000000000002</v>
      </c>
      <c r="H281" s="7">
        <v>0.35</v>
      </c>
      <c r="I281" s="7">
        <f t="shared" si="27"/>
        <v>0.26249999999999996</v>
      </c>
      <c r="J281" s="7">
        <f t="shared" si="24"/>
        <v>0</v>
      </c>
      <c r="K281" s="7">
        <f t="shared" si="28"/>
        <v>0</v>
      </c>
      <c r="L281" s="7">
        <f t="shared" si="29"/>
        <v>0.23</v>
      </c>
    </row>
    <row r="282" spans="2:12" ht="158.4" x14ac:dyDescent="0.3">
      <c r="B282" s="5">
        <v>4016</v>
      </c>
      <c r="C282" s="5" t="s">
        <v>299</v>
      </c>
      <c r="D282" s="6" t="s">
        <v>309</v>
      </c>
      <c r="E282" s="7">
        <v>1</v>
      </c>
      <c r="F282" s="7">
        <v>0.8</v>
      </c>
      <c r="G282" s="7">
        <f t="shared" si="25"/>
        <v>0.60000000000000009</v>
      </c>
      <c r="H282" s="7">
        <v>1.5</v>
      </c>
      <c r="I282" s="7">
        <f t="shared" si="27"/>
        <v>1.125</v>
      </c>
      <c r="J282" s="7">
        <f t="shared" si="24"/>
        <v>0</v>
      </c>
      <c r="K282" s="7">
        <f t="shared" si="28"/>
        <v>0</v>
      </c>
      <c r="L282" s="7">
        <f t="shared" si="29"/>
        <v>0.23</v>
      </c>
    </row>
    <row r="283" spans="2:12" ht="115.2" x14ac:dyDescent="0.3">
      <c r="B283" s="5">
        <v>4006</v>
      </c>
      <c r="C283" s="5" t="s">
        <v>299</v>
      </c>
      <c r="D283" s="6" t="s">
        <v>310</v>
      </c>
      <c r="E283" s="7">
        <v>1</v>
      </c>
      <c r="F283" s="7">
        <v>5.12</v>
      </c>
      <c r="G283" s="7">
        <f t="shared" si="25"/>
        <v>3.84</v>
      </c>
      <c r="H283" s="7">
        <v>0.35</v>
      </c>
      <c r="I283" s="7">
        <f t="shared" si="27"/>
        <v>0.26249999999999996</v>
      </c>
      <c r="J283" s="7">
        <f t="shared" si="24"/>
        <v>0</v>
      </c>
      <c r="K283" s="7">
        <f t="shared" si="28"/>
        <v>0</v>
      </c>
      <c r="L283" s="7">
        <f t="shared" si="29"/>
        <v>0.23</v>
      </c>
    </row>
    <row r="284" spans="2:12" ht="43.2" x14ac:dyDescent="0.3">
      <c r="B284" s="5">
        <v>4007</v>
      </c>
      <c r="C284" s="5" t="s">
        <v>299</v>
      </c>
      <c r="D284" s="6" t="s">
        <v>311</v>
      </c>
      <c r="E284" s="7">
        <v>1</v>
      </c>
      <c r="F284" s="7">
        <v>1.28</v>
      </c>
      <c r="G284" s="7">
        <f t="shared" si="25"/>
        <v>0.96</v>
      </c>
      <c r="H284" s="7">
        <v>0.35</v>
      </c>
      <c r="I284" s="7">
        <f t="shared" si="27"/>
        <v>0.26249999999999996</v>
      </c>
      <c r="J284" s="7">
        <f t="shared" si="24"/>
        <v>0</v>
      </c>
      <c r="K284" s="7">
        <f t="shared" si="28"/>
        <v>0</v>
      </c>
      <c r="L284" s="7">
        <f t="shared" si="29"/>
        <v>0.23</v>
      </c>
    </row>
    <row r="285" spans="2:12" ht="86.4" x14ac:dyDescent="0.3">
      <c r="B285" s="5">
        <v>4017</v>
      </c>
      <c r="C285" s="5" t="s">
        <v>299</v>
      </c>
      <c r="D285" s="6" t="s">
        <v>312</v>
      </c>
      <c r="E285" s="7">
        <v>1</v>
      </c>
      <c r="F285" s="7">
        <v>11.86</v>
      </c>
      <c r="G285" s="7">
        <f t="shared" si="25"/>
        <v>8.8949999999999996</v>
      </c>
      <c r="H285" s="7">
        <v>1.5</v>
      </c>
      <c r="I285" s="7">
        <f t="shared" si="27"/>
        <v>1.125</v>
      </c>
      <c r="J285" s="7">
        <f t="shared" si="24"/>
        <v>0</v>
      </c>
      <c r="K285" s="7">
        <f t="shared" si="28"/>
        <v>0</v>
      </c>
      <c r="L285" s="7">
        <f t="shared" si="29"/>
        <v>0.23</v>
      </c>
    </row>
    <row r="286" spans="2:12" ht="28.8" x14ac:dyDescent="0.3">
      <c r="B286" s="5">
        <v>4018</v>
      </c>
      <c r="C286" s="5" t="s">
        <v>299</v>
      </c>
      <c r="D286" s="6" t="s">
        <v>313</v>
      </c>
      <c r="E286" s="7">
        <v>1</v>
      </c>
      <c r="F286" s="7">
        <v>3.12</v>
      </c>
      <c r="G286" s="7">
        <f t="shared" si="25"/>
        <v>2.34</v>
      </c>
      <c r="H286" s="7">
        <v>1.5</v>
      </c>
      <c r="I286" s="7">
        <f t="shared" si="27"/>
        <v>1.125</v>
      </c>
      <c r="J286" s="7">
        <f t="shared" si="24"/>
        <v>0</v>
      </c>
      <c r="K286" s="7">
        <f t="shared" si="28"/>
        <v>0</v>
      </c>
      <c r="L286" s="7">
        <f t="shared" si="29"/>
        <v>0.23</v>
      </c>
    </row>
    <row r="287" spans="2:12" ht="72" x14ac:dyDescent="0.3">
      <c r="B287" s="5">
        <v>4019</v>
      </c>
      <c r="C287" s="5" t="s">
        <v>299</v>
      </c>
      <c r="D287" s="6" t="s">
        <v>314</v>
      </c>
      <c r="E287" s="7">
        <v>1</v>
      </c>
      <c r="F287" s="7">
        <v>1.97</v>
      </c>
      <c r="G287" s="7">
        <f t="shared" si="25"/>
        <v>1.4775</v>
      </c>
      <c r="H287" s="7">
        <v>1.5</v>
      </c>
      <c r="I287" s="7">
        <f t="shared" si="27"/>
        <v>1.125</v>
      </c>
      <c r="J287" s="7">
        <f t="shared" si="24"/>
        <v>0</v>
      </c>
      <c r="K287" s="7">
        <f t="shared" si="28"/>
        <v>0</v>
      </c>
      <c r="L287" s="7">
        <f t="shared" si="29"/>
        <v>0.23</v>
      </c>
    </row>
    <row r="288" spans="2:12" ht="230.4" x14ac:dyDescent="0.3">
      <c r="B288" s="5">
        <v>4008</v>
      </c>
      <c r="C288" s="5" t="s">
        <v>315</v>
      </c>
      <c r="D288" s="6" t="s">
        <v>316</v>
      </c>
      <c r="E288" s="7">
        <v>1</v>
      </c>
      <c r="F288" s="7">
        <v>1.9</v>
      </c>
      <c r="G288" s="7">
        <f t="shared" si="25"/>
        <v>1.4249999999999998</v>
      </c>
      <c r="H288" s="7">
        <f>IF(C288="III",0.15,IF(C288="IV",0.25,IF(C288="V",0.25,IF(C288="VII",0.25,0))))</f>
        <v>0.25</v>
      </c>
      <c r="I288" s="7">
        <f t="shared" si="27"/>
        <v>0.1875</v>
      </c>
      <c r="J288" s="7">
        <f t="shared" si="24"/>
        <v>0</v>
      </c>
      <c r="K288" s="7">
        <f t="shared" si="28"/>
        <v>0</v>
      </c>
      <c r="L288" s="7">
        <f t="shared" si="29"/>
        <v>0.23</v>
      </c>
    </row>
    <row r="289" spans="2:12" ht="129.6" x14ac:dyDescent="0.3">
      <c r="B289" s="5">
        <v>4009</v>
      </c>
      <c r="C289" s="5" t="s">
        <v>315</v>
      </c>
      <c r="D289" s="6" t="s">
        <v>317</v>
      </c>
      <c r="E289" s="7">
        <v>1</v>
      </c>
      <c r="F289" s="7">
        <v>0.88</v>
      </c>
      <c r="G289" s="7">
        <f t="shared" si="25"/>
        <v>0.66</v>
      </c>
      <c r="H289" s="7">
        <f>IF(C289="III",0.15,IF(C289="IV",0.25,IF(C289="V",0.25,IF(C289="VII",0.25,0))))</f>
        <v>0.25</v>
      </c>
      <c r="I289" s="7">
        <f t="shared" si="27"/>
        <v>0.1875</v>
      </c>
      <c r="J289" s="7">
        <f t="shared" si="24"/>
        <v>0</v>
      </c>
      <c r="K289" s="7">
        <f t="shared" si="28"/>
        <v>0</v>
      </c>
      <c r="L289" s="7">
        <f t="shared" si="29"/>
        <v>0.23</v>
      </c>
    </row>
    <row r="290" spans="2:12" ht="100.8" x14ac:dyDescent="0.3">
      <c r="B290" s="5">
        <v>4010</v>
      </c>
      <c r="C290" s="5" t="s">
        <v>315</v>
      </c>
      <c r="D290" s="6" t="s">
        <v>318</v>
      </c>
      <c r="E290" s="7">
        <v>1</v>
      </c>
      <c r="F290" s="7">
        <v>1.2</v>
      </c>
      <c r="G290" s="7">
        <f t="shared" si="25"/>
        <v>0.89999999999999991</v>
      </c>
      <c r="H290" s="7">
        <f>IF(C290="III",0.15,IF(C290="IV",0.25,IF(C290="V",0.25,IF(C290="VII",0.25,0))))</f>
        <v>0.25</v>
      </c>
      <c r="I290" s="7">
        <f t="shared" si="27"/>
        <v>0.1875</v>
      </c>
      <c r="J290" s="7">
        <f t="shared" si="24"/>
        <v>0</v>
      </c>
      <c r="K290" s="7">
        <f t="shared" si="28"/>
        <v>0</v>
      </c>
      <c r="L290" s="7">
        <f t="shared" si="29"/>
        <v>0.23</v>
      </c>
    </row>
    <row r="291" spans="2:12" ht="28.8" x14ac:dyDescent="0.3">
      <c r="B291" s="5">
        <v>4011</v>
      </c>
      <c r="C291" s="5" t="s">
        <v>315</v>
      </c>
      <c r="D291" s="6" t="s">
        <v>319</v>
      </c>
      <c r="E291" s="7">
        <v>1</v>
      </c>
      <c r="F291" s="7">
        <v>0.59</v>
      </c>
      <c r="G291" s="7">
        <f t="shared" si="25"/>
        <v>0.4425</v>
      </c>
      <c r="H291" s="7">
        <f>IF(C291="III",0.15,IF(C291="IV",0.25,IF(C291="V",0.25,IF(C291="VII",0.25,0))))</f>
        <v>0.25</v>
      </c>
      <c r="I291" s="7">
        <f t="shared" si="27"/>
        <v>0.1875</v>
      </c>
      <c r="J291" s="7">
        <f t="shared" si="24"/>
        <v>0</v>
      </c>
      <c r="K291" s="7">
        <f t="shared" si="28"/>
        <v>0</v>
      </c>
      <c r="L291" s="7">
        <f t="shared" si="29"/>
        <v>0.23</v>
      </c>
    </row>
    <row r="292" spans="2:12" x14ac:dyDescent="0.3">
      <c r="B292" s="5">
        <v>4900</v>
      </c>
      <c r="C292" s="5" t="s">
        <v>320</v>
      </c>
      <c r="D292" s="6" t="s">
        <v>321</v>
      </c>
      <c r="E292" s="7">
        <v>2</v>
      </c>
      <c r="F292" s="7">
        <v>0.28999999999999998</v>
      </c>
      <c r="G292" s="7">
        <f t="shared" si="25"/>
        <v>0.26100000000000001</v>
      </c>
      <c r="H292" s="7">
        <v>0.25</v>
      </c>
      <c r="I292" s="7">
        <f t="shared" si="27"/>
        <v>0.22500000000000001</v>
      </c>
      <c r="J292" s="7">
        <f t="shared" si="24"/>
        <v>0</v>
      </c>
      <c r="K292" s="7">
        <f t="shared" si="28"/>
        <v>0</v>
      </c>
      <c r="L292" s="7">
        <f t="shared" si="29"/>
        <v>0.23</v>
      </c>
    </row>
  </sheetData>
  <sheetProtection algorithmName="SHA-512" hashValue="smsPJJ1mnHqGJRWiMJgLfGYvaLA5UqAYekOcAlkFNCv8lUPC3OZwJ3V+h7XxTO1uv1JHENQuvvE8X9B8rqCO4g==" saltValue="NL7xmehyyQCKK6OIG7/Tyw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14</vt:i4>
      </vt:variant>
    </vt:vector>
  </HeadingPairs>
  <TitlesOfParts>
    <vt:vector size="18" baseType="lpstr">
      <vt:lpstr>Sheet1</vt:lpstr>
      <vt:lpstr>Sheet4</vt:lpstr>
      <vt:lpstr>Sheet3</vt:lpstr>
      <vt:lpstr>Sheet2</vt:lpstr>
      <vt:lpstr>BLUS</vt:lpstr>
      <vt:lpstr>BSUS</vt:lpstr>
      <vt:lpstr>Flexi_BL</vt:lpstr>
      <vt:lpstr>Flexi_BS</vt:lpstr>
      <vt:lpstr>FlexiBL</vt:lpstr>
      <vt:lpstr>Four</vt:lpstr>
      <vt:lpstr>IIB_Occupancy__Code</vt:lpstr>
      <vt:lpstr>N</vt:lpstr>
      <vt:lpstr>NO</vt:lpstr>
      <vt:lpstr>One</vt:lpstr>
      <vt:lpstr>Three</vt:lpstr>
      <vt:lpstr>Two</vt:lpstr>
      <vt:lpstr>Y</vt:lpstr>
      <vt:lpstr>YES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2026-02-24T07:50:46Z</dcterms:modified>
</cp:coreProperties>
</file>